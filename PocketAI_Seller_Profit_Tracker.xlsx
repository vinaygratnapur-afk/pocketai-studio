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2F91429C-44AD-054B-9C8F-8E2C3A8FBD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Start Here" sheetId="2" r:id="rId2"/>
    <sheet name="Products" sheetId="3" r:id="rId3"/>
    <sheet name="Sales" sheetId="4" r:id="rId4"/>
    <sheet name="Expenses" sheetId="5" r:id="rId5"/>
  </sheets>
  <definedNames>
    <definedName name="_xlnm._FilterDatabase" localSheetId="2" hidden="1">Products!$A$1:$H$204</definedName>
    <definedName name="_xlnm._FilterDatabase" localSheetId="3" hidden="1">Sales!$A$1:$Q$501</definedName>
    <definedName name="_xlnm._FilterDatabase" localSheetId="4" hidden="1">Expenses!$A$1:$F$201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1" i="4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N501" i="4"/>
  <c r="M501" i="4"/>
  <c r="L501" i="4"/>
  <c r="F501" i="4"/>
  <c r="K501" i="4"/>
  <c r="I501" i="4"/>
  <c r="D501" i="4"/>
  <c r="O500" i="4"/>
  <c r="N500" i="4"/>
  <c r="M500" i="4"/>
  <c r="L500" i="4"/>
  <c r="F500" i="4"/>
  <c r="K500" i="4"/>
  <c r="I500" i="4"/>
  <c r="D500" i="4"/>
  <c r="O499" i="4"/>
  <c r="N499" i="4"/>
  <c r="M499" i="4"/>
  <c r="L499" i="4"/>
  <c r="F499" i="4"/>
  <c r="K499" i="4"/>
  <c r="I499" i="4"/>
  <c r="D499" i="4"/>
  <c r="O498" i="4"/>
  <c r="N498" i="4"/>
  <c r="M498" i="4"/>
  <c r="L498" i="4"/>
  <c r="F498" i="4"/>
  <c r="K498" i="4"/>
  <c r="I498" i="4"/>
  <c r="D498" i="4"/>
  <c r="O497" i="4"/>
  <c r="N497" i="4"/>
  <c r="M497" i="4"/>
  <c r="L497" i="4"/>
  <c r="F497" i="4"/>
  <c r="K497" i="4"/>
  <c r="I497" i="4"/>
  <c r="D497" i="4"/>
  <c r="O496" i="4"/>
  <c r="N496" i="4"/>
  <c r="M496" i="4"/>
  <c r="L496" i="4"/>
  <c r="F496" i="4"/>
  <c r="K496" i="4"/>
  <c r="I496" i="4"/>
  <c r="D496" i="4"/>
  <c r="O495" i="4"/>
  <c r="N495" i="4"/>
  <c r="M495" i="4"/>
  <c r="L495" i="4"/>
  <c r="F495" i="4"/>
  <c r="K495" i="4"/>
  <c r="I495" i="4"/>
  <c r="D495" i="4"/>
  <c r="O494" i="4"/>
  <c r="N494" i="4"/>
  <c r="M494" i="4"/>
  <c r="L494" i="4"/>
  <c r="F494" i="4"/>
  <c r="K494" i="4"/>
  <c r="I494" i="4"/>
  <c r="D494" i="4"/>
  <c r="O493" i="4"/>
  <c r="N493" i="4"/>
  <c r="M493" i="4"/>
  <c r="L493" i="4"/>
  <c r="F493" i="4"/>
  <c r="K493" i="4"/>
  <c r="I493" i="4"/>
  <c r="D493" i="4"/>
  <c r="O492" i="4"/>
  <c r="N492" i="4"/>
  <c r="M492" i="4"/>
  <c r="L492" i="4"/>
  <c r="F492" i="4"/>
  <c r="K492" i="4"/>
  <c r="I492" i="4"/>
  <c r="D492" i="4"/>
  <c r="O491" i="4"/>
  <c r="N491" i="4"/>
  <c r="M491" i="4"/>
  <c r="L491" i="4"/>
  <c r="F491" i="4"/>
  <c r="K491" i="4"/>
  <c r="I491" i="4"/>
  <c r="D491" i="4"/>
  <c r="O490" i="4"/>
  <c r="N490" i="4"/>
  <c r="M490" i="4"/>
  <c r="L490" i="4"/>
  <c r="F490" i="4"/>
  <c r="K490" i="4"/>
  <c r="I490" i="4"/>
  <c r="D490" i="4"/>
  <c r="O489" i="4"/>
  <c r="N489" i="4"/>
  <c r="M489" i="4"/>
  <c r="L489" i="4"/>
  <c r="F489" i="4"/>
  <c r="K489" i="4"/>
  <c r="I489" i="4"/>
  <c r="D489" i="4"/>
  <c r="O488" i="4"/>
  <c r="N488" i="4"/>
  <c r="M488" i="4"/>
  <c r="L488" i="4"/>
  <c r="F488" i="4"/>
  <c r="K488" i="4"/>
  <c r="I488" i="4"/>
  <c r="D488" i="4"/>
  <c r="O487" i="4"/>
  <c r="N487" i="4"/>
  <c r="M487" i="4"/>
  <c r="L487" i="4"/>
  <c r="F487" i="4"/>
  <c r="K487" i="4"/>
  <c r="I487" i="4"/>
  <c r="D487" i="4"/>
  <c r="O486" i="4"/>
  <c r="N486" i="4"/>
  <c r="M486" i="4"/>
  <c r="L486" i="4"/>
  <c r="F486" i="4"/>
  <c r="K486" i="4"/>
  <c r="I486" i="4"/>
  <c r="D486" i="4"/>
  <c r="O485" i="4"/>
  <c r="N485" i="4"/>
  <c r="M485" i="4"/>
  <c r="L485" i="4"/>
  <c r="F485" i="4"/>
  <c r="K485" i="4"/>
  <c r="I485" i="4"/>
  <c r="D485" i="4"/>
  <c r="O484" i="4"/>
  <c r="N484" i="4"/>
  <c r="M484" i="4"/>
  <c r="L484" i="4"/>
  <c r="F484" i="4"/>
  <c r="K484" i="4"/>
  <c r="I484" i="4"/>
  <c r="D484" i="4"/>
  <c r="O483" i="4"/>
  <c r="N483" i="4"/>
  <c r="M483" i="4"/>
  <c r="L483" i="4"/>
  <c r="F483" i="4"/>
  <c r="K483" i="4"/>
  <c r="I483" i="4"/>
  <c r="D483" i="4"/>
  <c r="O482" i="4"/>
  <c r="N482" i="4"/>
  <c r="M482" i="4"/>
  <c r="L482" i="4"/>
  <c r="F482" i="4"/>
  <c r="K482" i="4"/>
  <c r="I482" i="4"/>
  <c r="D482" i="4"/>
  <c r="O481" i="4"/>
  <c r="N481" i="4"/>
  <c r="M481" i="4"/>
  <c r="L481" i="4"/>
  <c r="F481" i="4"/>
  <c r="K481" i="4"/>
  <c r="I481" i="4"/>
  <c r="D481" i="4"/>
  <c r="O480" i="4"/>
  <c r="N480" i="4"/>
  <c r="M480" i="4"/>
  <c r="L480" i="4"/>
  <c r="F480" i="4"/>
  <c r="K480" i="4"/>
  <c r="I480" i="4"/>
  <c r="D480" i="4"/>
  <c r="O479" i="4"/>
  <c r="N479" i="4"/>
  <c r="M479" i="4"/>
  <c r="L479" i="4"/>
  <c r="F479" i="4"/>
  <c r="K479" i="4"/>
  <c r="I479" i="4"/>
  <c r="D479" i="4"/>
  <c r="O478" i="4"/>
  <c r="N478" i="4"/>
  <c r="M478" i="4"/>
  <c r="L478" i="4"/>
  <c r="F478" i="4"/>
  <c r="K478" i="4"/>
  <c r="I478" i="4"/>
  <c r="D478" i="4"/>
  <c r="O477" i="4"/>
  <c r="N477" i="4"/>
  <c r="M477" i="4"/>
  <c r="L477" i="4"/>
  <c r="F477" i="4"/>
  <c r="K477" i="4"/>
  <c r="I477" i="4"/>
  <c r="D477" i="4"/>
  <c r="O476" i="4"/>
  <c r="N476" i="4"/>
  <c r="M476" i="4"/>
  <c r="L476" i="4"/>
  <c r="F476" i="4"/>
  <c r="K476" i="4"/>
  <c r="I476" i="4"/>
  <c r="D476" i="4"/>
  <c r="O475" i="4"/>
  <c r="N475" i="4"/>
  <c r="M475" i="4"/>
  <c r="L475" i="4"/>
  <c r="F475" i="4"/>
  <c r="K475" i="4"/>
  <c r="I475" i="4"/>
  <c r="D475" i="4"/>
  <c r="O474" i="4"/>
  <c r="N474" i="4"/>
  <c r="M474" i="4"/>
  <c r="L474" i="4"/>
  <c r="F474" i="4"/>
  <c r="K474" i="4"/>
  <c r="I474" i="4"/>
  <c r="D474" i="4"/>
  <c r="O473" i="4"/>
  <c r="N473" i="4"/>
  <c r="M473" i="4"/>
  <c r="L473" i="4"/>
  <c r="F473" i="4"/>
  <c r="K473" i="4"/>
  <c r="I473" i="4"/>
  <c r="D473" i="4"/>
  <c r="O472" i="4"/>
  <c r="N472" i="4"/>
  <c r="M472" i="4"/>
  <c r="L472" i="4"/>
  <c r="F472" i="4"/>
  <c r="K472" i="4"/>
  <c r="I472" i="4"/>
  <c r="D472" i="4"/>
  <c r="O471" i="4"/>
  <c r="N471" i="4"/>
  <c r="M471" i="4"/>
  <c r="L471" i="4"/>
  <c r="F471" i="4"/>
  <c r="K471" i="4"/>
  <c r="I471" i="4"/>
  <c r="D471" i="4"/>
  <c r="O470" i="4"/>
  <c r="N470" i="4"/>
  <c r="M470" i="4"/>
  <c r="L470" i="4"/>
  <c r="F470" i="4"/>
  <c r="K470" i="4"/>
  <c r="I470" i="4"/>
  <c r="D470" i="4"/>
  <c r="O469" i="4"/>
  <c r="N469" i="4"/>
  <c r="M469" i="4"/>
  <c r="L469" i="4"/>
  <c r="F469" i="4"/>
  <c r="K469" i="4"/>
  <c r="I469" i="4"/>
  <c r="D469" i="4"/>
  <c r="O468" i="4"/>
  <c r="N468" i="4"/>
  <c r="M468" i="4"/>
  <c r="L468" i="4"/>
  <c r="F468" i="4"/>
  <c r="K468" i="4"/>
  <c r="I468" i="4"/>
  <c r="D468" i="4"/>
  <c r="O467" i="4"/>
  <c r="N467" i="4"/>
  <c r="M467" i="4"/>
  <c r="L467" i="4"/>
  <c r="F467" i="4"/>
  <c r="K467" i="4"/>
  <c r="I467" i="4"/>
  <c r="D467" i="4"/>
  <c r="O466" i="4"/>
  <c r="N466" i="4"/>
  <c r="M466" i="4"/>
  <c r="L466" i="4"/>
  <c r="F466" i="4"/>
  <c r="K466" i="4"/>
  <c r="I466" i="4"/>
  <c r="D466" i="4"/>
  <c r="O465" i="4"/>
  <c r="N465" i="4"/>
  <c r="M465" i="4"/>
  <c r="L465" i="4"/>
  <c r="F465" i="4"/>
  <c r="K465" i="4"/>
  <c r="I465" i="4"/>
  <c r="D465" i="4"/>
  <c r="O464" i="4"/>
  <c r="N464" i="4"/>
  <c r="M464" i="4"/>
  <c r="L464" i="4"/>
  <c r="F464" i="4"/>
  <c r="K464" i="4"/>
  <c r="I464" i="4"/>
  <c r="D464" i="4"/>
  <c r="O463" i="4"/>
  <c r="N463" i="4"/>
  <c r="M463" i="4"/>
  <c r="L463" i="4"/>
  <c r="F463" i="4"/>
  <c r="K463" i="4"/>
  <c r="I463" i="4"/>
  <c r="D463" i="4"/>
  <c r="O462" i="4"/>
  <c r="N462" i="4"/>
  <c r="M462" i="4"/>
  <c r="L462" i="4"/>
  <c r="F462" i="4"/>
  <c r="K462" i="4"/>
  <c r="I462" i="4"/>
  <c r="D462" i="4"/>
  <c r="O461" i="4"/>
  <c r="N461" i="4"/>
  <c r="M461" i="4"/>
  <c r="L461" i="4"/>
  <c r="F461" i="4"/>
  <c r="K461" i="4"/>
  <c r="I461" i="4"/>
  <c r="D461" i="4"/>
  <c r="O460" i="4"/>
  <c r="N460" i="4"/>
  <c r="M460" i="4"/>
  <c r="L460" i="4"/>
  <c r="F460" i="4"/>
  <c r="K460" i="4"/>
  <c r="I460" i="4"/>
  <c r="D460" i="4"/>
  <c r="O459" i="4"/>
  <c r="N459" i="4"/>
  <c r="M459" i="4"/>
  <c r="L459" i="4"/>
  <c r="F459" i="4"/>
  <c r="K459" i="4"/>
  <c r="I459" i="4"/>
  <c r="D459" i="4"/>
  <c r="O458" i="4"/>
  <c r="N458" i="4"/>
  <c r="M458" i="4"/>
  <c r="L458" i="4"/>
  <c r="F458" i="4"/>
  <c r="K458" i="4"/>
  <c r="I458" i="4"/>
  <c r="D458" i="4"/>
  <c r="O457" i="4"/>
  <c r="N457" i="4"/>
  <c r="M457" i="4"/>
  <c r="L457" i="4"/>
  <c r="F457" i="4"/>
  <c r="K457" i="4"/>
  <c r="I457" i="4"/>
  <c r="D457" i="4"/>
  <c r="O456" i="4"/>
  <c r="N456" i="4"/>
  <c r="M456" i="4"/>
  <c r="L456" i="4"/>
  <c r="F456" i="4"/>
  <c r="K456" i="4"/>
  <c r="I456" i="4"/>
  <c r="D456" i="4"/>
  <c r="O455" i="4"/>
  <c r="N455" i="4"/>
  <c r="M455" i="4"/>
  <c r="L455" i="4"/>
  <c r="F455" i="4"/>
  <c r="K455" i="4"/>
  <c r="I455" i="4"/>
  <c r="D455" i="4"/>
  <c r="O454" i="4"/>
  <c r="N454" i="4"/>
  <c r="M454" i="4"/>
  <c r="L454" i="4"/>
  <c r="F454" i="4"/>
  <c r="K454" i="4"/>
  <c r="I454" i="4"/>
  <c r="D454" i="4"/>
  <c r="O453" i="4"/>
  <c r="N453" i="4"/>
  <c r="M453" i="4"/>
  <c r="L453" i="4"/>
  <c r="F453" i="4"/>
  <c r="K453" i="4"/>
  <c r="I453" i="4"/>
  <c r="D453" i="4"/>
  <c r="O452" i="4"/>
  <c r="N452" i="4"/>
  <c r="M452" i="4"/>
  <c r="L452" i="4"/>
  <c r="F452" i="4"/>
  <c r="K452" i="4"/>
  <c r="I452" i="4"/>
  <c r="D452" i="4"/>
  <c r="O451" i="4"/>
  <c r="N451" i="4"/>
  <c r="M451" i="4"/>
  <c r="L451" i="4"/>
  <c r="F451" i="4"/>
  <c r="K451" i="4"/>
  <c r="I451" i="4"/>
  <c r="D451" i="4"/>
  <c r="O450" i="4"/>
  <c r="N450" i="4"/>
  <c r="M450" i="4"/>
  <c r="L450" i="4"/>
  <c r="F450" i="4"/>
  <c r="K450" i="4"/>
  <c r="I450" i="4"/>
  <c r="D450" i="4"/>
  <c r="O449" i="4"/>
  <c r="N449" i="4"/>
  <c r="M449" i="4"/>
  <c r="L449" i="4"/>
  <c r="F449" i="4"/>
  <c r="K449" i="4"/>
  <c r="I449" i="4"/>
  <c r="D449" i="4"/>
  <c r="O448" i="4"/>
  <c r="N448" i="4"/>
  <c r="M448" i="4"/>
  <c r="L448" i="4"/>
  <c r="F448" i="4"/>
  <c r="K448" i="4"/>
  <c r="I448" i="4"/>
  <c r="D448" i="4"/>
  <c r="O447" i="4"/>
  <c r="N447" i="4"/>
  <c r="M447" i="4"/>
  <c r="L447" i="4"/>
  <c r="F447" i="4"/>
  <c r="K447" i="4"/>
  <c r="I447" i="4"/>
  <c r="D447" i="4"/>
  <c r="O446" i="4"/>
  <c r="N446" i="4"/>
  <c r="M446" i="4"/>
  <c r="L446" i="4"/>
  <c r="F446" i="4"/>
  <c r="K446" i="4"/>
  <c r="I446" i="4"/>
  <c r="D446" i="4"/>
  <c r="O445" i="4"/>
  <c r="N445" i="4"/>
  <c r="M445" i="4"/>
  <c r="L445" i="4"/>
  <c r="F445" i="4"/>
  <c r="K445" i="4"/>
  <c r="I445" i="4"/>
  <c r="D445" i="4"/>
  <c r="O444" i="4"/>
  <c r="N444" i="4"/>
  <c r="M444" i="4"/>
  <c r="L444" i="4"/>
  <c r="F444" i="4"/>
  <c r="K444" i="4"/>
  <c r="I444" i="4"/>
  <c r="D444" i="4"/>
  <c r="O443" i="4"/>
  <c r="N443" i="4"/>
  <c r="M443" i="4"/>
  <c r="L443" i="4"/>
  <c r="F443" i="4"/>
  <c r="K443" i="4"/>
  <c r="I443" i="4"/>
  <c r="D443" i="4"/>
  <c r="O442" i="4"/>
  <c r="N442" i="4"/>
  <c r="M442" i="4"/>
  <c r="L442" i="4"/>
  <c r="F442" i="4"/>
  <c r="K442" i="4"/>
  <c r="I442" i="4"/>
  <c r="D442" i="4"/>
  <c r="O441" i="4"/>
  <c r="N441" i="4"/>
  <c r="M441" i="4"/>
  <c r="L441" i="4"/>
  <c r="F441" i="4"/>
  <c r="K441" i="4"/>
  <c r="I441" i="4"/>
  <c r="D441" i="4"/>
  <c r="O440" i="4"/>
  <c r="N440" i="4"/>
  <c r="M440" i="4"/>
  <c r="L440" i="4"/>
  <c r="F440" i="4"/>
  <c r="K440" i="4"/>
  <c r="I440" i="4"/>
  <c r="D440" i="4"/>
  <c r="O439" i="4"/>
  <c r="N439" i="4"/>
  <c r="M439" i="4"/>
  <c r="L439" i="4"/>
  <c r="F439" i="4"/>
  <c r="K439" i="4"/>
  <c r="I439" i="4"/>
  <c r="D439" i="4"/>
  <c r="O438" i="4"/>
  <c r="N438" i="4"/>
  <c r="M438" i="4"/>
  <c r="L438" i="4"/>
  <c r="F438" i="4"/>
  <c r="K438" i="4"/>
  <c r="I438" i="4"/>
  <c r="D438" i="4"/>
  <c r="O437" i="4"/>
  <c r="N437" i="4"/>
  <c r="M437" i="4"/>
  <c r="L437" i="4"/>
  <c r="F437" i="4"/>
  <c r="K437" i="4"/>
  <c r="I437" i="4"/>
  <c r="D437" i="4"/>
  <c r="O436" i="4"/>
  <c r="N436" i="4"/>
  <c r="M436" i="4"/>
  <c r="L436" i="4"/>
  <c r="F436" i="4"/>
  <c r="K436" i="4"/>
  <c r="I436" i="4"/>
  <c r="D436" i="4"/>
  <c r="O435" i="4"/>
  <c r="N435" i="4"/>
  <c r="M435" i="4"/>
  <c r="L435" i="4"/>
  <c r="F435" i="4"/>
  <c r="K435" i="4"/>
  <c r="I435" i="4"/>
  <c r="D435" i="4"/>
  <c r="O434" i="4"/>
  <c r="N434" i="4"/>
  <c r="M434" i="4"/>
  <c r="L434" i="4"/>
  <c r="F434" i="4"/>
  <c r="K434" i="4"/>
  <c r="I434" i="4"/>
  <c r="D434" i="4"/>
  <c r="O433" i="4"/>
  <c r="N433" i="4"/>
  <c r="M433" i="4"/>
  <c r="L433" i="4"/>
  <c r="F433" i="4"/>
  <c r="K433" i="4"/>
  <c r="I433" i="4"/>
  <c r="D433" i="4"/>
  <c r="O432" i="4"/>
  <c r="N432" i="4"/>
  <c r="M432" i="4"/>
  <c r="L432" i="4"/>
  <c r="F432" i="4"/>
  <c r="K432" i="4"/>
  <c r="I432" i="4"/>
  <c r="D432" i="4"/>
  <c r="O431" i="4"/>
  <c r="N431" i="4"/>
  <c r="M431" i="4"/>
  <c r="L431" i="4"/>
  <c r="F431" i="4"/>
  <c r="K431" i="4"/>
  <c r="I431" i="4"/>
  <c r="D431" i="4"/>
  <c r="O430" i="4"/>
  <c r="N430" i="4"/>
  <c r="M430" i="4"/>
  <c r="L430" i="4"/>
  <c r="F430" i="4"/>
  <c r="K430" i="4"/>
  <c r="I430" i="4"/>
  <c r="D430" i="4"/>
  <c r="O429" i="4"/>
  <c r="N429" i="4"/>
  <c r="M429" i="4"/>
  <c r="L429" i="4"/>
  <c r="F429" i="4"/>
  <c r="K429" i="4"/>
  <c r="I429" i="4"/>
  <c r="D429" i="4"/>
  <c r="O428" i="4"/>
  <c r="N428" i="4"/>
  <c r="M428" i="4"/>
  <c r="L428" i="4"/>
  <c r="F428" i="4"/>
  <c r="K428" i="4"/>
  <c r="I428" i="4"/>
  <c r="D428" i="4"/>
  <c r="O427" i="4"/>
  <c r="N427" i="4"/>
  <c r="M427" i="4"/>
  <c r="L427" i="4"/>
  <c r="F427" i="4"/>
  <c r="K427" i="4"/>
  <c r="I427" i="4"/>
  <c r="D427" i="4"/>
  <c r="O426" i="4"/>
  <c r="N426" i="4"/>
  <c r="M426" i="4"/>
  <c r="L426" i="4"/>
  <c r="F426" i="4"/>
  <c r="K426" i="4"/>
  <c r="I426" i="4"/>
  <c r="D426" i="4"/>
  <c r="O425" i="4"/>
  <c r="N425" i="4"/>
  <c r="M425" i="4"/>
  <c r="L425" i="4"/>
  <c r="F425" i="4"/>
  <c r="K425" i="4"/>
  <c r="I425" i="4"/>
  <c r="D425" i="4"/>
  <c r="O424" i="4"/>
  <c r="N424" i="4"/>
  <c r="M424" i="4"/>
  <c r="L424" i="4"/>
  <c r="F424" i="4"/>
  <c r="K424" i="4"/>
  <c r="I424" i="4"/>
  <c r="D424" i="4"/>
  <c r="O423" i="4"/>
  <c r="N423" i="4"/>
  <c r="M423" i="4"/>
  <c r="L423" i="4"/>
  <c r="F423" i="4"/>
  <c r="K423" i="4"/>
  <c r="I423" i="4"/>
  <c r="D423" i="4"/>
  <c r="O422" i="4"/>
  <c r="N422" i="4"/>
  <c r="M422" i="4"/>
  <c r="L422" i="4"/>
  <c r="F422" i="4"/>
  <c r="K422" i="4"/>
  <c r="I422" i="4"/>
  <c r="D422" i="4"/>
  <c r="O421" i="4"/>
  <c r="N421" i="4"/>
  <c r="M421" i="4"/>
  <c r="L421" i="4"/>
  <c r="F421" i="4"/>
  <c r="K421" i="4"/>
  <c r="I421" i="4"/>
  <c r="D421" i="4"/>
  <c r="O420" i="4"/>
  <c r="N420" i="4"/>
  <c r="M420" i="4"/>
  <c r="L420" i="4"/>
  <c r="F420" i="4"/>
  <c r="K420" i="4"/>
  <c r="I420" i="4"/>
  <c r="D420" i="4"/>
  <c r="O419" i="4"/>
  <c r="N419" i="4"/>
  <c r="M419" i="4"/>
  <c r="L419" i="4"/>
  <c r="F419" i="4"/>
  <c r="K419" i="4"/>
  <c r="I419" i="4"/>
  <c r="D419" i="4"/>
  <c r="O418" i="4"/>
  <c r="N418" i="4"/>
  <c r="M418" i="4"/>
  <c r="L418" i="4"/>
  <c r="F418" i="4"/>
  <c r="K418" i="4"/>
  <c r="I418" i="4"/>
  <c r="D418" i="4"/>
  <c r="O417" i="4"/>
  <c r="N417" i="4"/>
  <c r="M417" i="4"/>
  <c r="L417" i="4"/>
  <c r="F417" i="4"/>
  <c r="K417" i="4"/>
  <c r="I417" i="4"/>
  <c r="D417" i="4"/>
  <c r="O416" i="4"/>
  <c r="N416" i="4"/>
  <c r="M416" i="4"/>
  <c r="L416" i="4"/>
  <c r="F416" i="4"/>
  <c r="K416" i="4"/>
  <c r="I416" i="4"/>
  <c r="D416" i="4"/>
  <c r="O415" i="4"/>
  <c r="N415" i="4"/>
  <c r="M415" i="4"/>
  <c r="L415" i="4"/>
  <c r="F415" i="4"/>
  <c r="K415" i="4"/>
  <c r="I415" i="4"/>
  <c r="D415" i="4"/>
  <c r="O414" i="4"/>
  <c r="N414" i="4"/>
  <c r="M414" i="4"/>
  <c r="L414" i="4"/>
  <c r="F414" i="4"/>
  <c r="K414" i="4"/>
  <c r="I414" i="4"/>
  <c r="D414" i="4"/>
  <c r="O413" i="4"/>
  <c r="N413" i="4"/>
  <c r="M413" i="4"/>
  <c r="L413" i="4"/>
  <c r="F413" i="4"/>
  <c r="K413" i="4"/>
  <c r="I413" i="4"/>
  <c r="D413" i="4"/>
  <c r="O412" i="4"/>
  <c r="N412" i="4"/>
  <c r="M412" i="4"/>
  <c r="L412" i="4"/>
  <c r="F412" i="4"/>
  <c r="K412" i="4"/>
  <c r="I412" i="4"/>
  <c r="D412" i="4"/>
  <c r="O411" i="4"/>
  <c r="N411" i="4"/>
  <c r="M411" i="4"/>
  <c r="L411" i="4"/>
  <c r="F411" i="4"/>
  <c r="K411" i="4"/>
  <c r="I411" i="4"/>
  <c r="D411" i="4"/>
  <c r="O410" i="4"/>
  <c r="N410" i="4"/>
  <c r="M410" i="4"/>
  <c r="L410" i="4"/>
  <c r="F410" i="4"/>
  <c r="K410" i="4"/>
  <c r="I410" i="4"/>
  <c r="D410" i="4"/>
  <c r="O409" i="4"/>
  <c r="N409" i="4"/>
  <c r="M409" i="4"/>
  <c r="L409" i="4"/>
  <c r="F409" i="4"/>
  <c r="K409" i="4"/>
  <c r="I409" i="4"/>
  <c r="D409" i="4"/>
  <c r="O408" i="4"/>
  <c r="N408" i="4"/>
  <c r="M408" i="4"/>
  <c r="L408" i="4"/>
  <c r="F408" i="4"/>
  <c r="K408" i="4"/>
  <c r="I408" i="4"/>
  <c r="D408" i="4"/>
  <c r="O407" i="4"/>
  <c r="N407" i="4"/>
  <c r="M407" i="4"/>
  <c r="L407" i="4"/>
  <c r="F407" i="4"/>
  <c r="K407" i="4"/>
  <c r="I407" i="4"/>
  <c r="D407" i="4"/>
  <c r="O406" i="4"/>
  <c r="N406" i="4"/>
  <c r="M406" i="4"/>
  <c r="L406" i="4"/>
  <c r="F406" i="4"/>
  <c r="K406" i="4"/>
  <c r="I406" i="4"/>
  <c r="D406" i="4"/>
  <c r="O405" i="4"/>
  <c r="N405" i="4"/>
  <c r="M405" i="4"/>
  <c r="L405" i="4"/>
  <c r="F405" i="4"/>
  <c r="K405" i="4"/>
  <c r="I405" i="4"/>
  <c r="D405" i="4"/>
  <c r="O404" i="4"/>
  <c r="N404" i="4"/>
  <c r="M404" i="4"/>
  <c r="L404" i="4"/>
  <c r="F404" i="4"/>
  <c r="K404" i="4"/>
  <c r="I404" i="4"/>
  <c r="D404" i="4"/>
  <c r="O403" i="4"/>
  <c r="N403" i="4"/>
  <c r="M403" i="4"/>
  <c r="L403" i="4"/>
  <c r="F403" i="4"/>
  <c r="K403" i="4"/>
  <c r="I403" i="4"/>
  <c r="D403" i="4"/>
  <c r="O402" i="4"/>
  <c r="N402" i="4"/>
  <c r="M402" i="4"/>
  <c r="L402" i="4"/>
  <c r="F402" i="4"/>
  <c r="K402" i="4"/>
  <c r="I402" i="4"/>
  <c r="D402" i="4"/>
  <c r="O401" i="4"/>
  <c r="N401" i="4"/>
  <c r="M401" i="4"/>
  <c r="L401" i="4"/>
  <c r="F401" i="4"/>
  <c r="K401" i="4"/>
  <c r="I401" i="4"/>
  <c r="D401" i="4"/>
  <c r="O400" i="4"/>
  <c r="N400" i="4"/>
  <c r="M400" i="4"/>
  <c r="L400" i="4"/>
  <c r="F400" i="4"/>
  <c r="K400" i="4"/>
  <c r="I400" i="4"/>
  <c r="D400" i="4"/>
  <c r="O399" i="4"/>
  <c r="N399" i="4"/>
  <c r="M399" i="4"/>
  <c r="L399" i="4"/>
  <c r="F399" i="4"/>
  <c r="K399" i="4"/>
  <c r="I399" i="4"/>
  <c r="D399" i="4"/>
  <c r="O398" i="4"/>
  <c r="N398" i="4"/>
  <c r="M398" i="4"/>
  <c r="L398" i="4"/>
  <c r="F398" i="4"/>
  <c r="K398" i="4"/>
  <c r="I398" i="4"/>
  <c r="D398" i="4"/>
  <c r="O397" i="4"/>
  <c r="N397" i="4"/>
  <c r="M397" i="4"/>
  <c r="L397" i="4"/>
  <c r="F397" i="4"/>
  <c r="K397" i="4"/>
  <c r="I397" i="4"/>
  <c r="D397" i="4"/>
  <c r="O396" i="4"/>
  <c r="N396" i="4"/>
  <c r="M396" i="4"/>
  <c r="L396" i="4"/>
  <c r="F396" i="4"/>
  <c r="K396" i="4"/>
  <c r="I396" i="4"/>
  <c r="D396" i="4"/>
  <c r="O395" i="4"/>
  <c r="N395" i="4"/>
  <c r="M395" i="4"/>
  <c r="L395" i="4"/>
  <c r="F395" i="4"/>
  <c r="K395" i="4"/>
  <c r="I395" i="4"/>
  <c r="D395" i="4"/>
  <c r="O394" i="4"/>
  <c r="N394" i="4"/>
  <c r="M394" i="4"/>
  <c r="L394" i="4"/>
  <c r="F394" i="4"/>
  <c r="K394" i="4"/>
  <c r="I394" i="4"/>
  <c r="D394" i="4"/>
  <c r="O393" i="4"/>
  <c r="N393" i="4"/>
  <c r="M393" i="4"/>
  <c r="L393" i="4"/>
  <c r="F393" i="4"/>
  <c r="K393" i="4"/>
  <c r="I393" i="4"/>
  <c r="D393" i="4"/>
  <c r="O392" i="4"/>
  <c r="N392" i="4"/>
  <c r="M392" i="4"/>
  <c r="L392" i="4"/>
  <c r="F392" i="4"/>
  <c r="K392" i="4"/>
  <c r="I392" i="4"/>
  <c r="D392" i="4"/>
  <c r="O391" i="4"/>
  <c r="N391" i="4"/>
  <c r="M391" i="4"/>
  <c r="L391" i="4"/>
  <c r="F391" i="4"/>
  <c r="K391" i="4"/>
  <c r="I391" i="4"/>
  <c r="D391" i="4"/>
  <c r="O390" i="4"/>
  <c r="N390" i="4"/>
  <c r="M390" i="4"/>
  <c r="L390" i="4"/>
  <c r="F390" i="4"/>
  <c r="K390" i="4"/>
  <c r="I390" i="4"/>
  <c r="D390" i="4"/>
  <c r="O389" i="4"/>
  <c r="N389" i="4"/>
  <c r="M389" i="4"/>
  <c r="L389" i="4"/>
  <c r="F389" i="4"/>
  <c r="K389" i="4"/>
  <c r="I389" i="4"/>
  <c r="D389" i="4"/>
  <c r="O388" i="4"/>
  <c r="N388" i="4"/>
  <c r="M388" i="4"/>
  <c r="L388" i="4"/>
  <c r="F388" i="4"/>
  <c r="K388" i="4"/>
  <c r="I388" i="4"/>
  <c r="D388" i="4"/>
  <c r="O387" i="4"/>
  <c r="N387" i="4"/>
  <c r="M387" i="4"/>
  <c r="L387" i="4"/>
  <c r="F387" i="4"/>
  <c r="K387" i="4"/>
  <c r="I387" i="4"/>
  <c r="D387" i="4"/>
  <c r="O386" i="4"/>
  <c r="N386" i="4"/>
  <c r="M386" i="4"/>
  <c r="L386" i="4"/>
  <c r="F386" i="4"/>
  <c r="K386" i="4"/>
  <c r="I386" i="4"/>
  <c r="D386" i="4"/>
  <c r="O385" i="4"/>
  <c r="N385" i="4"/>
  <c r="M385" i="4"/>
  <c r="L385" i="4"/>
  <c r="F385" i="4"/>
  <c r="K385" i="4"/>
  <c r="I385" i="4"/>
  <c r="D385" i="4"/>
  <c r="O384" i="4"/>
  <c r="N384" i="4"/>
  <c r="M384" i="4"/>
  <c r="L384" i="4"/>
  <c r="F384" i="4"/>
  <c r="K384" i="4"/>
  <c r="I384" i="4"/>
  <c r="D384" i="4"/>
  <c r="O383" i="4"/>
  <c r="N383" i="4"/>
  <c r="M383" i="4"/>
  <c r="L383" i="4"/>
  <c r="F383" i="4"/>
  <c r="K383" i="4"/>
  <c r="I383" i="4"/>
  <c r="D383" i="4"/>
  <c r="O382" i="4"/>
  <c r="N382" i="4"/>
  <c r="M382" i="4"/>
  <c r="L382" i="4"/>
  <c r="F382" i="4"/>
  <c r="K382" i="4"/>
  <c r="I382" i="4"/>
  <c r="D382" i="4"/>
  <c r="O381" i="4"/>
  <c r="N381" i="4"/>
  <c r="M381" i="4"/>
  <c r="L381" i="4"/>
  <c r="F381" i="4"/>
  <c r="K381" i="4"/>
  <c r="I381" i="4"/>
  <c r="D381" i="4"/>
  <c r="O380" i="4"/>
  <c r="N380" i="4"/>
  <c r="M380" i="4"/>
  <c r="L380" i="4"/>
  <c r="F380" i="4"/>
  <c r="K380" i="4"/>
  <c r="I380" i="4"/>
  <c r="D380" i="4"/>
  <c r="O379" i="4"/>
  <c r="N379" i="4"/>
  <c r="M379" i="4"/>
  <c r="L379" i="4"/>
  <c r="F379" i="4"/>
  <c r="K379" i="4"/>
  <c r="I379" i="4"/>
  <c r="D379" i="4"/>
  <c r="O378" i="4"/>
  <c r="N378" i="4"/>
  <c r="M378" i="4"/>
  <c r="L378" i="4"/>
  <c r="F378" i="4"/>
  <c r="K378" i="4"/>
  <c r="I378" i="4"/>
  <c r="D378" i="4"/>
  <c r="O377" i="4"/>
  <c r="N377" i="4"/>
  <c r="M377" i="4"/>
  <c r="L377" i="4"/>
  <c r="F377" i="4"/>
  <c r="K377" i="4"/>
  <c r="I377" i="4"/>
  <c r="D377" i="4"/>
  <c r="O376" i="4"/>
  <c r="N376" i="4"/>
  <c r="M376" i="4"/>
  <c r="L376" i="4"/>
  <c r="F376" i="4"/>
  <c r="K376" i="4"/>
  <c r="I376" i="4"/>
  <c r="D376" i="4"/>
  <c r="O375" i="4"/>
  <c r="N375" i="4"/>
  <c r="M375" i="4"/>
  <c r="L375" i="4"/>
  <c r="F375" i="4"/>
  <c r="K375" i="4"/>
  <c r="I375" i="4"/>
  <c r="D375" i="4"/>
  <c r="O374" i="4"/>
  <c r="N374" i="4"/>
  <c r="M374" i="4"/>
  <c r="L374" i="4"/>
  <c r="F374" i="4"/>
  <c r="K374" i="4"/>
  <c r="I374" i="4"/>
  <c r="D374" i="4"/>
  <c r="O373" i="4"/>
  <c r="N373" i="4"/>
  <c r="M373" i="4"/>
  <c r="L373" i="4"/>
  <c r="F373" i="4"/>
  <c r="K373" i="4"/>
  <c r="I373" i="4"/>
  <c r="D373" i="4"/>
  <c r="O372" i="4"/>
  <c r="N372" i="4"/>
  <c r="M372" i="4"/>
  <c r="L372" i="4"/>
  <c r="F372" i="4"/>
  <c r="K372" i="4"/>
  <c r="I372" i="4"/>
  <c r="D372" i="4"/>
  <c r="O371" i="4"/>
  <c r="N371" i="4"/>
  <c r="M371" i="4"/>
  <c r="L371" i="4"/>
  <c r="F371" i="4"/>
  <c r="K371" i="4"/>
  <c r="I371" i="4"/>
  <c r="D371" i="4"/>
  <c r="O370" i="4"/>
  <c r="N370" i="4"/>
  <c r="M370" i="4"/>
  <c r="L370" i="4"/>
  <c r="F370" i="4"/>
  <c r="K370" i="4"/>
  <c r="I370" i="4"/>
  <c r="D370" i="4"/>
  <c r="O369" i="4"/>
  <c r="N369" i="4"/>
  <c r="M369" i="4"/>
  <c r="L369" i="4"/>
  <c r="F369" i="4"/>
  <c r="K369" i="4"/>
  <c r="I369" i="4"/>
  <c r="D369" i="4"/>
  <c r="O368" i="4"/>
  <c r="N368" i="4"/>
  <c r="M368" i="4"/>
  <c r="L368" i="4"/>
  <c r="F368" i="4"/>
  <c r="K368" i="4"/>
  <c r="I368" i="4"/>
  <c r="D368" i="4"/>
  <c r="O367" i="4"/>
  <c r="N367" i="4"/>
  <c r="M367" i="4"/>
  <c r="L367" i="4"/>
  <c r="F367" i="4"/>
  <c r="K367" i="4"/>
  <c r="I367" i="4"/>
  <c r="D367" i="4"/>
  <c r="O366" i="4"/>
  <c r="N366" i="4"/>
  <c r="M366" i="4"/>
  <c r="L366" i="4"/>
  <c r="F366" i="4"/>
  <c r="K366" i="4"/>
  <c r="I366" i="4"/>
  <c r="D366" i="4"/>
  <c r="O365" i="4"/>
  <c r="N365" i="4"/>
  <c r="M365" i="4"/>
  <c r="L365" i="4"/>
  <c r="F365" i="4"/>
  <c r="K365" i="4"/>
  <c r="I365" i="4"/>
  <c r="D365" i="4"/>
  <c r="O364" i="4"/>
  <c r="N364" i="4"/>
  <c r="M364" i="4"/>
  <c r="L364" i="4"/>
  <c r="F364" i="4"/>
  <c r="K364" i="4"/>
  <c r="I364" i="4"/>
  <c r="D364" i="4"/>
  <c r="O363" i="4"/>
  <c r="N363" i="4"/>
  <c r="M363" i="4"/>
  <c r="L363" i="4"/>
  <c r="F363" i="4"/>
  <c r="K363" i="4"/>
  <c r="I363" i="4"/>
  <c r="D363" i="4"/>
  <c r="O362" i="4"/>
  <c r="N362" i="4"/>
  <c r="M362" i="4"/>
  <c r="L362" i="4"/>
  <c r="F362" i="4"/>
  <c r="K362" i="4"/>
  <c r="I362" i="4"/>
  <c r="D362" i="4"/>
  <c r="O361" i="4"/>
  <c r="N361" i="4"/>
  <c r="M361" i="4"/>
  <c r="L361" i="4"/>
  <c r="F361" i="4"/>
  <c r="K361" i="4"/>
  <c r="I361" i="4"/>
  <c r="D361" i="4"/>
  <c r="O360" i="4"/>
  <c r="N360" i="4"/>
  <c r="M360" i="4"/>
  <c r="L360" i="4"/>
  <c r="F360" i="4"/>
  <c r="K360" i="4"/>
  <c r="I360" i="4"/>
  <c r="D360" i="4"/>
  <c r="O359" i="4"/>
  <c r="N359" i="4"/>
  <c r="M359" i="4"/>
  <c r="L359" i="4"/>
  <c r="F359" i="4"/>
  <c r="K359" i="4"/>
  <c r="I359" i="4"/>
  <c r="D359" i="4"/>
  <c r="O358" i="4"/>
  <c r="N358" i="4"/>
  <c r="M358" i="4"/>
  <c r="L358" i="4"/>
  <c r="F358" i="4"/>
  <c r="K358" i="4"/>
  <c r="I358" i="4"/>
  <c r="D358" i="4"/>
  <c r="O357" i="4"/>
  <c r="N357" i="4"/>
  <c r="M357" i="4"/>
  <c r="L357" i="4"/>
  <c r="F357" i="4"/>
  <c r="K357" i="4"/>
  <c r="I357" i="4"/>
  <c r="D357" i="4"/>
  <c r="O356" i="4"/>
  <c r="N356" i="4"/>
  <c r="M356" i="4"/>
  <c r="L356" i="4"/>
  <c r="F356" i="4"/>
  <c r="K356" i="4"/>
  <c r="I356" i="4"/>
  <c r="D356" i="4"/>
  <c r="O355" i="4"/>
  <c r="N355" i="4"/>
  <c r="M355" i="4"/>
  <c r="L355" i="4"/>
  <c r="F355" i="4"/>
  <c r="K355" i="4"/>
  <c r="I355" i="4"/>
  <c r="D355" i="4"/>
  <c r="O354" i="4"/>
  <c r="N354" i="4"/>
  <c r="M354" i="4"/>
  <c r="L354" i="4"/>
  <c r="F354" i="4"/>
  <c r="K354" i="4"/>
  <c r="I354" i="4"/>
  <c r="D354" i="4"/>
  <c r="O353" i="4"/>
  <c r="N353" i="4"/>
  <c r="M353" i="4"/>
  <c r="L353" i="4"/>
  <c r="F353" i="4"/>
  <c r="K353" i="4"/>
  <c r="I353" i="4"/>
  <c r="D353" i="4"/>
  <c r="O352" i="4"/>
  <c r="N352" i="4"/>
  <c r="M352" i="4"/>
  <c r="L352" i="4"/>
  <c r="F352" i="4"/>
  <c r="K352" i="4"/>
  <c r="I352" i="4"/>
  <c r="D352" i="4"/>
  <c r="O351" i="4"/>
  <c r="N351" i="4"/>
  <c r="M351" i="4"/>
  <c r="L351" i="4"/>
  <c r="F351" i="4"/>
  <c r="K351" i="4"/>
  <c r="I351" i="4"/>
  <c r="D351" i="4"/>
  <c r="O350" i="4"/>
  <c r="N350" i="4"/>
  <c r="M350" i="4"/>
  <c r="L350" i="4"/>
  <c r="F350" i="4"/>
  <c r="K350" i="4"/>
  <c r="I350" i="4"/>
  <c r="D350" i="4"/>
  <c r="O349" i="4"/>
  <c r="N349" i="4"/>
  <c r="M349" i="4"/>
  <c r="L349" i="4"/>
  <c r="F349" i="4"/>
  <c r="K349" i="4"/>
  <c r="I349" i="4"/>
  <c r="D349" i="4"/>
  <c r="O348" i="4"/>
  <c r="N348" i="4"/>
  <c r="M348" i="4"/>
  <c r="L348" i="4"/>
  <c r="F348" i="4"/>
  <c r="K348" i="4"/>
  <c r="I348" i="4"/>
  <c r="D348" i="4"/>
  <c r="O347" i="4"/>
  <c r="N347" i="4"/>
  <c r="M347" i="4"/>
  <c r="L347" i="4"/>
  <c r="F347" i="4"/>
  <c r="K347" i="4"/>
  <c r="I347" i="4"/>
  <c r="D347" i="4"/>
  <c r="O346" i="4"/>
  <c r="N346" i="4"/>
  <c r="M346" i="4"/>
  <c r="L346" i="4"/>
  <c r="F346" i="4"/>
  <c r="K346" i="4"/>
  <c r="I346" i="4"/>
  <c r="D346" i="4"/>
  <c r="O345" i="4"/>
  <c r="N345" i="4"/>
  <c r="M345" i="4"/>
  <c r="L345" i="4"/>
  <c r="F345" i="4"/>
  <c r="K345" i="4"/>
  <c r="I345" i="4"/>
  <c r="D345" i="4"/>
  <c r="O344" i="4"/>
  <c r="N344" i="4"/>
  <c r="M344" i="4"/>
  <c r="L344" i="4"/>
  <c r="F344" i="4"/>
  <c r="K344" i="4"/>
  <c r="I344" i="4"/>
  <c r="D344" i="4"/>
  <c r="O343" i="4"/>
  <c r="N343" i="4"/>
  <c r="M343" i="4"/>
  <c r="L343" i="4"/>
  <c r="F343" i="4"/>
  <c r="K343" i="4"/>
  <c r="I343" i="4"/>
  <c r="D343" i="4"/>
  <c r="O342" i="4"/>
  <c r="N342" i="4"/>
  <c r="M342" i="4"/>
  <c r="L342" i="4"/>
  <c r="F342" i="4"/>
  <c r="K342" i="4"/>
  <c r="I342" i="4"/>
  <c r="D342" i="4"/>
  <c r="O341" i="4"/>
  <c r="N341" i="4"/>
  <c r="M341" i="4"/>
  <c r="L341" i="4"/>
  <c r="F341" i="4"/>
  <c r="K341" i="4"/>
  <c r="I341" i="4"/>
  <c r="D341" i="4"/>
  <c r="O340" i="4"/>
  <c r="N340" i="4"/>
  <c r="M340" i="4"/>
  <c r="L340" i="4"/>
  <c r="F340" i="4"/>
  <c r="K340" i="4"/>
  <c r="I340" i="4"/>
  <c r="D340" i="4"/>
  <c r="O339" i="4"/>
  <c r="N339" i="4"/>
  <c r="M339" i="4"/>
  <c r="L339" i="4"/>
  <c r="F339" i="4"/>
  <c r="K339" i="4"/>
  <c r="I339" i="4"/>
  <c r="D339" i="4"/>
  <c r="O338" i="4"/>
  <c r="N338" i="4"/>
  <c r="M338" i="4"/>
  <c r="L338" i="4"/>
  <c r="F338" i="4"/>
  <c r="K338" i="4"/>
  <c r="I338" i="4"/>
  <c r="D338" i="4"/>
  <c r="O337" i="4"/>
  <c r="N337" i="4"/>
  <c r="M337" i="4"/>
  <c r="L337" i="4"/>
  <c r="F337" i="4"/>
  <c r="K337" i="4"/>
  <c r="I337" i="4"/>
  <c r="D337" i="4"/>
  <c r="O336" i="4"/>
  <c r="N336" i="4"/>
  <c r="M336" i="4"/>
  <c r="L336" i="4"/>
  <c r="F336" i="4"/>
  <c r="K336" i="4"/>
  <c r="I336" i="4"/>
  <c r="D336" i="4"/>
  <c r="O335" i="4"/>
  <c r="N335" i="4"/>
  <c r="M335" i="4"/>
  <c r="L335" i="4"/>
  <c r="F335" i="4"/>
  <c r="K335" i="4"/>
  <c r="I335" i="4"/>
  <c r="D335" i="4"/>
  <c r="O334" i="4"/>
  <c r="N334" i="4"/>
  <c r="M334" i="4"/>
  <c r="L334" i="4"/>
  <c r="F334" i="4"/>
  <c r="K334" i="4"/>
  <c r="I334" i="4"/>
  <c r="D334" i="4"/>
  <c r="O333" i="4"/>
  <c r="N333" i="4"/>
  <c r="M333" i="4"/>
  <c r="L333" i="4"/>
  <c r="F333" i="4"/>
  <c r="K333" i="4"/>
  <c r="I333" i="4"/>
  <c r="D333" i="4"/>
  <c r="O332" i="4"/>
  <c r="N332" i="4"/>
  <c r="M332" i="4"/>
  <c r="L332" i="4"/>
  <c r="F332" i="4"/>
  <c r="K332" i="4"/>
  <c r="I332" i="4"/>
  <c r="D332" i="4"/>
  <c r="O331" i="4"/>
  <c r="N331" i="4"/>
  <c r="M331" i="4"/>
  <c r="L331" i="4"/>
  <c r="F331" i="4"/>
  <c r="K331" i="4"/>
  <c r="I331" i="4"/>
  <c r="D331" i="4"/>
  <c r="O330" i="4"/>
  <c r="N330" i="4"/>
  <c r="M330" i="4"/>
  <c r="L330" i="4"/>
  <c r="F330" i="4"/>
  <c r="K330" i="4"/>
  <c r="I330" i="4"/>
  <c r="D330" i="4"/>
  <c r="O329" i="4"/>
  <c r="N329" i="4"/>
  <c r="M329" i="4"/>
  <c r="L329" i="4"/>
  <c r="F329" i="4"/>
  <c r="K329" i="4"/>
  <c r="I329" i="4"/>
  <c r="D329" i="4"/>
  <c r="O328" i="4"/>
  <c r="N328" i="4"/>
  <c r="M328" i="4"/>
  <c r="L328" i="4"/>
  <c r="F328" i="4"/>
  <c r="K328" i="4"/>
  <c r="I328" i="4"/>
  <c r="D328" i="4"/>
  <c r="O327" i="4"/>
  <c r="N327" i="4"/>
  <c r="M327" i="4"/>
  <c r="L327" i="4"/>
  <c r="F327" i="4"/>
  <c r="K327" i="4"/>
  <c r="I327" i="4"/>
  <c r="D327" i="4"/>
  <c r="O326" i="4"/>
  <c r="N326" i="4"/>
  <c r="M326" i="4"/>
  <c r="L326" i="4"/>
  <c r="F326" i="4"/>
  <c r="K326" i="4"/>
  <c r="I326" i="4"/>
  <c r="D326" i="4"/>
  <c r="O325" i="4"/>
  <c r="N325" i="4"/>
  <c r="M325" i="4"/>
  <c r="L325" i="4"/>
  <c r="F325" i="4"/>
  <c r="K325" i="4"/>
  <c r="I325" i="4"/>
  <c r="D325" i="4"/>
  <c r="O324" i="4"/>
  <c r="N324" i="4"/>
  <c r="M324" i="4"/>
  <c r="L324" i="4"/>
  <c r="F324" i="4"/>
  <c r="K324" i="4"/>
  <c r="I324" i="4"/>
  <c r="D324" i="4"/>
  <c r="O323" i="4"/>
  <c r="N323" i="4"/>
  <c r="M323" i="4"/>
  <c r="L323" i="4"/>
  <c r="F323" i="4"/>
  <c r="K323" i="4"/>
  <c r="I323" i="4"/>
  <c r="D323" i="4"/>
  <c r="O322" i="4"/>
  <c r="N322" i="4"/>
  <c r="M322" i="4"/>
  <c r="L322" i="4"/>
  <c r="F322" i="4"/>
  <c r="K322" i="4"/>
  <c r="I322" i="4"/>
  <c r="D322" i="4"/>
  <c r="O321" i="4"/>
  <c r="N321" i="4"/>
  <c r="M321" i="4"/>
  <c r="L321" i="4"/>
  <c r="F321" i="4"/>
  <c r="K321" i="4"/>
  <c r="I321" i="4"/>
  <c r="D321" i="4"/>
  <c r="O320" i="4"/>
  <c r="N320" i="4"/>
  <c r="M320" i="4"/>
  <c r="L320" i="4"/>
  <c r="F320" i="4"/>
  <c r="K320" i="4"/>
  <c r="I320" i="4"/>
  <c r="D320" i="4"/>
  <c r="O319" i="4"/>
  <c r="N319" i="4"/>
  <c r="M319" i="4"/>
  <c r="L319" i="4"/>
  <c r="F319" i="4"/>
  <c r="K319" i="4"/>
  <c r="I319" i="4"/>
  <c r="D319" i="4"/>
  <c r="O318" i="4"/>
  <c r="N318" i="4"/>
  <c r="M318" i="4"/>
  <c r="L318" i="4"/>
  <c r="F318" i="4"/>
  <c r="K318" i="4"/>
  <c r="I318" i="4"/>
  <c r="D318" i="4"/>
  <c r="O317" i="4"/>
  <c r="N317" i="4"/>
  <c r="M317" i="4"/>
  <c r="L317" i="4"/>
  <c r="F317" i="4"/>
  <c r="K317" i="4"/>
  <c r="I317" i="4"/>
  <c r="D317" i="4"/>
  <c r="O316" i="4"/>
  <c r="N316" i="4"/>
  <c r="M316" i="4"/>
  <c r="L316" i="4"/>
  <c r="F316" i="4"/>
  <c r="K316" i="4"/>
  <c r="I316" i="4"/>
  <c r="D316" i="4"/>
  <c r="O315" i="4"/>
  <c r="N315" i="4"/>
  <c r="M315" i="4"/>
  <c r="L315" i="4"/>
  <c r="F315" i="4"/>
  <c r="K315" i="4"/>
  <c r="I315" i="4"/>
  <c r="D315" i="4"/>
  <c r="O314" i="4"/>
  <c r="N314" i="4"/>
  <c r="M314" i="4"/>
  <c r="L314" i="4"/>
  <c r="F314" i="4"/>
  <c r="K314" i="4"/>
  <c r="I314" i="4"/>
  <c r="D314" i="4"/>
  <c r="O313" i="4"/>
  <c r="N313" i="4"/>
  <c r="M313" i="4"/>
  <c r="L313" i="4"/>
  <c r="F313" i="4"/>
  <c r="K313" i="4"/>
  <c r="I313" i="4"/>
  <c r="D313" i="4"/>
  <c r="O312" i="4"/>
  <c r="N312" i="4"/>
  <c r="M312" i="4"/>
  <c r="L312" i="4"/>
  <c r="F312" i="4"/>
  <c r="K312" i="4"/>
  <c r="I312" i="4"/>
  <c r="D312" i="4"/>
  <c r="O311" i="4"/>
  <c r="N311" i="4"/>
  <c r="M311" i="4"/>
  <c r="L311" i="4"/>
  <c r="F311" i="4"/>
  <c r="K311" i="4"/>
  <c r="I311" i="4"/>
  <c r="D311" i="4"/>
  <c r="O310" i="4"/>
  <c r="N310" i="4"/>
  <c r="M310" i="4"/>
  <c r="L310" i="4"/>
  <c r="F310" i="4"/>
  <c r="K310" i="4"/>
  <c r="I310" i="4"/>
  <c r="D310" i="4"/>
  <c r="O309" i="4"/>
  <c r="N309" i="4"/>
  <c r="M309" i="4"/>
  <c r="L309" i="4"/>
  <c r="F309" i="4"/>
  <c r="K309" i="4"/>
  <c r="I309" i="4"/>
  <c r="D309" i="4"/>
  <c r="O308" i="4"/>
  <c r="N308" i="4"/>
  <c r="M308" i="4"/>
  <c r="L308" i="4"/>
  <c r="F308" i="4"/>
  <c r="K308" i="4"/>
  <c r="I308" i="4"/>
  <c r="D308" i="4"/>
  <c r="O307" i="4"/>
  <c r="N307" i="4"/>
  <c r="M307" i="4"/>
  <c r="L307" i="4"/>
  <c r="F307" i="4"/>
  <c r="K307" i="4"/>
  <c r="I307" i="4"/>
  <c r="D307" i="4"/>
  <c r="O306" i="4"/>
  <c r="N306" i="4"/>
  <c r="M306" i="4"/>
  <c r="L306" i="4"/>
  <c r="F306" i="4"/>
  <c r="K306" i="4"/>
  <c r="I306" i="4"/>
  <c r="D306" i="4"/>
  <c r="O305" i="4"/>
  <c r="N305" i="4"/>
  <c r="M305" i="4"/>
  <c r="L305" i="4"/>
  <c r="F305" i="4"/>
  <c r="K305" i="4"/>
  <c r="I305" i="4"/>
  <c r="D305" i="4"/>
  <c r="O304" i="4"/>
  <c r="N304" i="4"/>
  <c r="M304" i="4"/>
  <c r="L304" i="4"/>
  <c r="F304" i="4"/>
  <c r="K304" i="4"/>
  <c r="I304" i="4"/>
  <c r="D304" i="4"/>
  <c r="O303" i="4"/>
  <c r="N303" i="4"/>
  <c r="M303" i="4"/>
  <c r="L303" i="4"/>
  <c r="F303" i="4"/>
  <c r="K303" i="4"/>
  <c r="I303" i="4"/>
  <c r="D303" i="4"/>
  <c r="O302" i="4"/>
  <c r="N302" i="4"/>
  <c r="M302" i="4"/>
  <c r="L302" i="4"/>
  <c r="F302" i="4"/>
  <c r="K302" i="4"/>
  <c r="I302" i="4"/>
  <c r="D302" i="4"/>
  <c r="O301" i="4"/>
  <c r="N301" i="4"/>
  <c r="M301" i="4"/>
  <c r="L301" i="4"/>
  <c r="F301" i="4"/>
  <c r="K301" i="4"/>
  <c r="I301" i="4"/>
  <c r="D301" i="4"/>
  <c r="O300" i="4"/>
  <c r="N300" i="4"/>
  <c r="M300" i="4"/>
  <c r="L300" i="4"/>
  <c r="F300" i="4"/>
  <c r="K300" i="4"/>
  <c r="I300" i="4"/>
  <c r="D300" i="4"/>
  <c r="O299" i="4"/>
  <c r="N299" i="4"/>
  <c r="M299" i="4"/>
  <c r="L299" i="4"/>
  <c r="F299" i="4"/>
  <c r="K299" i="4"/>
  <c r="I299" i="4"/>
  <c r="D299" i="4"/>
  <c r="O298" i="4"/>
  <c r="N298" i="4"/>
  <c r="M298" i="4"/>
  <c r="L298" i="4"/>
  <c r="F298" i="4"/>
  <c r="K298" i="4"/>
  <c r="I298" i="4"/>
  <c r="D298" i="4"/>
  <c r="O297" i="4"/>
  <c r="N297" i="4"/>
  <c r="M297" i="4"/>
  <c r="L297" i="4"/>
  <c r="F297" i="4"/>
  <c r="K297" i="4"/>
  <c r="I297" i="4"/>
  <c r="D297" i="4"/>
  <c r="O296" i="4"/>
  <c r="N296" i="4"/>
  <c r="M296" i="4"/>
  <c r="L296" i="4"/>
  <c r="F296" i="4"/>
  <c r="K296" i="4"/>
  <c r="I296" i="4"/>
  <c r="D296" i="4"/>
  <c r="O295" i="4"/>
  <c r="N295" i="4"/>
  <c r="M295" i="4"/>
  <c r="L295" i="4"/>
  <c r="F295" i="4"/>
  <c r="K295" i="4"/>
  <c r="I295" i="4"/>
  <c r="D295" i="4"/>
  <c r="O294" i="4"/>
  <c r="N294" i="4"/>
  <c r="M294" i="4"/>
  <c r="L294" i="4"/>
  <c r="F294" i="4"/>
  <c r="K294" i="4"/>
  <c r="I294" i="4"/>
  <c r="D294" i="4"/>
  <c r="O293" i="4"/>
  <c r="N293" i="4"/>
  <c r="M293" i="4"/>
  <c r="L293" i="4"/>
  <c r="F293" i="4"/>
  <c r="K293" i="4"/>
  <c r="I293" i="4"/>
  <c r="D293" i="4"/>
  <c r="O292" i="4"/>
  <c r="N292" i="4"/>
  <c r="M292" i="4"/>
  <c r="L292" i="4"/>
  <c r="F292" i="4"/>
  <c r="K292" i="4"/>
  <c r="I292" i="4"/>
  <c r="D292" i="4"/>
  <c r="O291" i="4"/>
  <c r="N291" i="4"/>
  <c r="M291" i="4"/>
  <c r="L291" i="4"/>
  <c r="F291" i="4"/>
  <c r="K291" i="4"/>
  <c r="I291" i="4"/>
  <c r="D291" i="4"/>
  <c r="O290" i="4"/>
  <c r="N290" i="4"/>
  <c r="M290" i="4"/>
  <c r="L290" i="4"/>
  <c r="F290" i="4"/>
  <c r="K290" i="4"/>
  <c r="I290" i="4"/>
  <c r="D290" i="4"/>
  <c r="O289" i="4"/>
  <c r="N289" i="4"/>
  <c r="M289" i="4"/>
  <c r="L289" i="4"/>
  <c r="F289" i="4"/>
  <c r="K289" i="4"/>
  <c r="I289" i="4"/>
  <c r="D289" i="4"/>
  <c r="O288" i="4"/>
  <c r="N288" i="4"/>
  <c r="M288" i="4"/>
  <c r="L288" i="4"/>
  <c r="F288" i="4"/>
  <c r="K288" i="4"/>
  <c r="I288" i="4"/>
  <c r="D288" i="4"/>
  <c r="O287" i="4"/>
  <c r="N287" i="4"/>
  <c r="M287" i="4"/>
  <c r="L287" i="4"/>
  <c r="F287" i="4"/>
  <c r="K287" i="4"/>
  <c r="I287" i="4"/>
  <c r="D287" i="4"/>
  <c r="O286" i="4"/>
  <c r="N286" i="4"/>
  <c r="M286" i="4"/>
  <c r="L286" i="4"/>
  <c r="F286" i="4"/>
  <c r="K286" i="4"/>
  <c r="I286" i="4"/>
  <c r="D286" i="4"/>
  <c r="O285" i="4"/>
  <c r="N285" i="4"/>
  <c r="M285" i="4"/>
  <c r="L285" i="4"/>
  <c r="F285" i="4"/>
  <c r="K285" i="4"/>
  <c r="I285" i="4"/>
  <c r="D285" i="4"/>
  <c r="O284" i="4"/>
  <c r="N284" i="4"/>
  <c r="M284" i="4"/>
  <c r="L284" i="4"/>
  <c r="F284" i="4"/>
  <c r="K284" i="4"/>
  <c r="I284" i="4"/>
  <c r="D284" i="4"/>
  <c r="O283" i="4"/>
  <c r="N283" i="4"/>
  <c r="M283" i="4"/>
  <c r="L283" i="4"/>
  <c r="F283" i="4"/>
  <c r="K283" i="4"/>
  <c r="I283" i="4"/>
  <c r="D283" i="4"/>
  <c r="O282" i="4"/>
  <c r="N282" i="4"/>
  <c r="M282" i="4"/>
  <c r="L282" i="4"/>
  <c r="F282" i="4"/>
  <c r="K282" i="4"/>
  <c r="I282" i="4"/>
  <c r="D282" i="4"/>
  <c r="O281" i="4"/>
  <c r="N281" i="4"/>
  <c r="M281" i="4"/>
  <c r="L281" i="4"/>
  <c r="F281" i="4"/>
  <c r="K281" i="4"/>
  <c r="I281" i="4"/>
  <c r="D281" i="4"/>
  <c r="O280" i="4"/>
  <c r="N280" i="4"/>
  <c r="M280" i="4"/>
  <c r="L280" i="4"/>
  <c r="F280" i="4"/>
  <c r="K280" i="4"/>
  <c r="I280" i="4"/>
  <c r="D280" i="4"/>
  <c r="O279" i="4"/>
  <c r="N279" i="4"/>
  <c r="M279" i="4"/>
  <c r="L279" i="4"/>
  <c r="F279" i="4"/>
  <c r="K279" i="4"/>
  <c r="I279" i="4"/>
  <c r="D279" i="4"/>
  <c r="O278" i="4"/>
  <c r="N278" i="4"/>
  <c r="M278" i="4"/>
  <c r="L278" i="4"/>
  <c r="F278" i="4"/>
  <c r="K278" i="4"/>
  <c r="I278" i="4"/>
  <c r="D278" i="4"/>
  <c r="O277" i="4"/>
  <c r="N277" i="4"/>
  <c r="M277" i="4"/>
  <c r="L277" i="4"/>
  <c r="F277" i="4"/>
  <c r="K277" i="4"/>
  <c r="I277" i="4"/>
  <c r="D277" i="4"/>
  <c r="O276" i="4"/>
  <c r="N276" i="4"/>
  <c r="M276" i="4"/>
  <c r="L276" i="4"/>
  <c r="F276" i="4"/>
  <c r="K276" i="4"/>
  <c r="I276" i="4"/>
  <c r="D276" i="4"/>
  <c r="O275" i="4"/>
  <c r="N275" i="4"/>
  <c r="M275" i="4"/>
  <c r="L275" i="4"/>
  <c r="F275" i="4"/>
  <c r="K275" i="4"/>
  <c r="I275" i="4"/>
  <c r="D275" i="4"/>
  <c r="O274" i="4"/>
  <c r="N274" i="4"/>
  <c r="M274" i="4"/>
  <c r="L274" i="4"/>
  <c r="F274" i="4"/>
  <c r="K274" i="4"/>
  <c r="I274" i="4"/>
  <c r="D274" i="4"/>
  <c r="O273" i="4"/>
  <c r="N273" i="4"/>
  <c r="M273" i="4"/>
  <c r="L273" i="4"/>
  <c r="F273" i="4"/>
  <c r="K273" i="4"/>
  <c r="I273" i="4"/>
  <c r="D273" i="4"/>
  <c r="O272" i="4"/>
  <c r="N272" i="4"/>
  <c r="M272" i="4"/>
  <c r="L272" i="4"/>
  <c r="F272" i="4"/>
  <c r="K272" i="4"/>
  <c r="I272" i="4"/>
  <c r="D272" i="4"/>
  <c r="O271" i="4"/>
  <c r="N271" i="4"/>
  <c r="M271" i="4"/>
  <c r="L271" i="4"/>
  <c r="F271" i="4"/>
  <c r="K271" i="4"/>
  <c r="I271" i="4"/>
  <c r="D271" i="4"/>
  <c r="O270" i="4"/>
  <c r="N270" i="4"/>
  <c r="M270" i="4"/>
  <c r="L270" i="4"/>
  <c r="F270" i="4"/>
  <c r="K270" i="4"/>
  <c r="I270" i="4"/>
  <c r="D270" i="4"/>
  <c r="O269" i="4"/>
  <c r="N269" i="4"/>
  <c r="M269" i="4"/>
  <c r="L269" i="4"/>
  <c r="F269" i="4"/>
  <c r="K269" i="4"/>
  <c r="I269" i="4"/>
  <c r="D269" i="4"/>
  <c r="O268" i="4"/>
  <c r="N268" i="4"/>
  <c r="M268" i="4"/>
  <c r="L268" i="4"/>
  <c r="F268" i="4"/>
  <c r="K268" i="4"/>
  <c r="I268" i="4"/>
  <c r="D268" i="4"/>
  <c r="O267" i="4"/>
  <c r="N267" i="4"/>
  <c r="M267" i="4"/>
  <c r="L267" i="4"/>
  <c r="F267" i="4"/>
  <c r="K267" i="4"/>
  <c r="I267" i="4"/>
  <c r="D267" i="4"/>
  <c r="O266" i="4"/>
  <c r="N266" i="4"/>
  <c r="M266" i="4"/>
  <c r="L266" i="4"/>
  <c r="F266" i="4"/>
  <c r="K266" i="4"/>
  <c r="I266" i="4"/>
  <c r="D266" i="4"/>
  <c r="O265" i="4"/>
  <c r="N265" i="4"/>
  <c r="M265" i="4"/>
  <c r="L265" i="4"/>
  <c r="F265" i="4"/>
  <c r="K265" i="4"/>
  <c r="I265" i="4"/>
  <c r="D265" i="4"/>
  <c r="O264" i="4"/>
  <c r="N264" i="4"/>
  <c r="M264" i="4"/>
  <c r="L264" i="4"/>
  <c r="F264" i="4"/>
  <c r="K264" i="4"/>
  <c r="I264" i="4"/>
  <c r="D264" i="4"/>
  <c r="O263" i="4"/>
  <c r="N263" i="4"/>
  <c r="M263" i="4"/>
  <c r="L263" i="4"/>
  <c r="F263" i="4"/>
  <c r="K263" i="4"/>
  <c r="I263" i="4"/>
  <c r="D263" i="4"/>
  <c r="O262" i="4"/>
  <c r="N262" i="4"/>
  <c r="M262" i="4"/>
  <c r="L262" i="4"/>
  <c r="F262" i="4"/>
  <c r="K262" i="4"/>
  <c r="I262" i="4"/>
  <c r="D262" i="4"/>
  <c r="O261" i="4"/>
  <c r="N261" i="4"/>
  <c r="M261" i="4"/>
  <c r="L261" i="4"/>
  <c r="F261" i="4"/>
  <c r="K261" i="4"/>
  <c r="I261" i="4"/>
  <c r="D261" i="4"/>
  <c r="O260" i="4"/>
  <c r="N260" i="4"/>
  <c r="M260" i="4"/>
  <c r="L260" i="4"/>
  <c r="F260" i="4"/>
  <c r="K260" i="4"/>
  <c r="I260" i="4"/>
  <c r="D260" i="4"/>
  <c r="O259" i="4"/>
  <c r="N259" i="4"/>
  <c r="M259" i="4"/>
  <c r="L259" i="4"/>
  <c r="F259" i="4"/>
  <c r="K259" i="4"/>
  <c r="I259" i="4"/>
  <c r="D259" i="4"/>
  <c r="O258" i="4"/>
  <c r="N258" i="4"/>
  <c r="M258" i="4"/>
  <c r="L258" i="4"/>
  <c r="F258" i="4"/>
  <c r="K258" i="4"/>
  <c r="I258" i="4"/>
  <c r="D258" i="4"/>
  <c r="O257" i="4"/>
  <c r="N257" i="4"/>
  <c r="M257" i="4"/>
  <c r="L257" i="4"/>
  <c r="F257" i="4"/>
  <c r="K257" i="4"/>
  <c r="I257" i="4"/>
  <c r="D257" i="4"/>
  <c r="O256" i="4"/>
  <c r="N256" i="4"/>
  <c r="M256" i="4"/>
  <c r="L256" i="4"/>
  <c r="F256" i="4"/>
  <c r="K256" i="4"/>
  <c r="I256" i="4"/>
  <c r="D256" i="4"/>
  <c r="O255" i="4"/>
  <c r="N255" i="4"/>
  <c r="M255" i="4"/>
  <c r="L255" i="4"/>
  <c r="F255" i="4"/>
  <c r="K255" i="4"/>
  <c r="I255" i="4"/>
  <c r="D255" i="4"/>
  <c r="O254" i="4"/>
  <c r="N254" i="4"/>
  <c r="M254" i="4"/>
  <c r="L254" i="4"/>
  <c r="F254" i="4"/>
  <c r="K254" i="4"/>
  <c r="I254" i="4"/>
  <c r="D254" i="4"/>
  <c r="O253" i="4"/>
  <c r="N253" i="4"/>
  <c r="M253" i="4"/>
  <c r="L253" i="4"/>
  <c r="F253" i="4"/>
  <c r="K253" i="4"/>
  <c r="I253" i="4"/>
  <c r="D253" i="4"/>
  <c r="O252" i="4"/>
  <c r="N252" i="4"/>
  <c r="M252" i="4"/>
  <c r="L252" i="4"/>
  <c r="F252" i="4"/>
  <c r="K252" i="4"/>
  <c r="I252" i="4"/>
  <c r="D252" i="4"/>
  <c r="O251" i="4"/>
  <c r="N251" i="4"/>
  <c r="M251" i="4"/>
  <c r="L251" i="4"/>
  <c r="F251" i="4"/>
  <c r="K251" i="4"/>
  <c r="I251" i="4"/>
  <c r="D251" i="4"/>
  <c r="O250" i="4"/>
  <c r="N250" i="4"/>
  <c r="M250" i="4"/>
  <c r="L250" i="4"/>
  <c r="F250" i="4"/>
  <c r="K250" i="4"/>
  <c r="I250" i="4"/>
  <c r="D250" i="4"/>
  <c r="O249" i="4"/>
  <c r="N249" i="4"/>
  <c r="M249" i="4"/>
  <c r="L249" i="4"/>
  <c r="F249" i="4"/>
  <c r="K249" i="4"/>
  <c r="I249" i="4"/>
  <c r="D249" i="4"/>
  <c r="O248" i="4"/>
  <c r="N248" i="4"/>
  <c r="M248" i="4"/>
  <c r="L248" i="4"/>
  <c r="F248" i="4"/>
  <c r="K248" i="4"/>
  <c r="I248" i="4"/>
  <c r="D248" i="4"/>
  <c r="O247" i="4"/>
  <c r="N247" i="4"/>
  <c r="M247" i="4"/>
  <c r="L247" i="4"/>
  <c r="F247" i="4"/>
  <c r="K247" i="4"/>
  <c r="I247" i="4"/>
  <c r="D247" i="4"/>
  <c r="O246" i="4"/>
  <c r="N246" i="4"/>
  <c r="M246" i="4"/>
  <c r="L246" i="4"/>
  <c r="F246" i="4"/>
  <c r="K246" i="4"/>
  <c r="I246" i="4"/>
  <c r="D246" i="4"/>
  <c r="O245" i="4"/>
  <c r="N245" i="4"/>
  <c r="M245" i="4"/>
  <c r="L245" i="4"/>
  <c r="F245" i="4"/>
  <c r="K245" i="4"/>
  <c r="I245" i="4"/>
  <c r="D245" i="4"/>
  <c r="O244" i="4"/>
  <c r="N244" i="4"/>
  <c r="M244" i="4"/>
  <c r="L244" i="4"/>
  <c r="F244" i="4"/>
  <c r="K244" i="4"/>
  <c r="I244" i="4"/>
  <c r="D244" i="4"/>
  <c r="O243" i="4"/>
  <c r="N243" i="4"/>
  <c r="M243" i="4"/>
  <c r="L243" i="4"/>
  <c r="F243" i="4"/>
  <c r="K243" i="4"/>
  <c r="I243" i="4"/>
  <c r="D243" i="4"/>
  <c r="O242" i="4"/>
  <c r="N242" i="4"/>
  <c r="M242" i="4"/>
  <c r="L242" i="4"/>
  <c r="F242" i="4"/>
  <c r="K242" i="4"/>
  <c r="I242" i="4"/>
  <c r="D242" i="4"/>
  <c r="O241" i="4"/>
  <c r="N241" i="4"/>
  <c r="M241" i="4"/>
  <c r="L241" i="4"/>
  <c r="F241" i="4"/>
  <c r="K241" i="4"/>
  <c r="I241" i="4"/>
  <c r="D241" i="4"/>
  <c r="O240" i="4"/>
  <c r="N240" i="4"/>
  <c r="M240" i="4"/>
  <c r="L240" i="4"/>
  <c r="F240" i="4"/>
  <c r="K240" i="4"/>
  <c r="I240" i="4"/>
  <c r="D240" i="4"/>
  <c r="O239" i="4"/>
  <c r="N239" i="4"/>
  <c r="M239" i="4"/>
  <c r="L239" i="4"/>
  <c r="F239" i="4"/>
  <c r="K239" i="4"/>
  <c r="I239" i="4"/>
  <c r="D239" i="4"/>
  <c r="O238" i="4"/>
  <c r="N238" i="4"/>
  <c r="M238" i="4"/>
  <c r="L238" i="4"/>
  <c r="F238" i="4"/>
  <c r="K238" i="4"/>
  <c r="I238" i="4"/>
  <c r="D238" i="4"/>
  <c r="O237" i="4"/>
  <c r="N237" i="4"/>
  <c r="M237" i="4"/>
  <c r="L237" i="4"/>
  <c r="F237" i="4"/>
  <c r="K237" i="4"/>
  <c r="I237" i="4"/>
  <c r="D237" i="4"/>
  <c r="O236" i="4"/>
  <c r="N236" i="4"/>
  <c r="M236" i="4"/>
  <c r="L236" i="4"/>
  <c r="F236" i="4"/>
  <c r="K236" i="4"/>
  <c r="I236" i="4"/>
  <c r="D236" i="4"/>
  <c r="O235" i="4"/>
  <c r="N235" i="4"/>
  <c r="M235" i="4"/>
  <c r="L235" i="4"/>
  <c r="F235" i="4"/>
  <c r="K235" i="4"/>
  <c r="I235" i="4"/>
  <c r="D235" i="4"/>
  <c r="O234" i="4"/>
  <c r="N234" i="4"/>
  <c r="M234" i="4"/>
  <c r="L234" i="4"/>
  <c r="F234" i="4"/>
  <c r="K234" i="4"/>
  <c r="I234" i="4"/>
  <c r="D234" i="4"/>
  <c r="O233" i="4"/>
  <c r="N233" i="4"/>
  <c r="M233" i="4"/>
  <c r="L233" i="4"/>
  <c r="F233" i="4"/>
  <c r="K233" i="4"/>
  <c r="I233" i="4"/>
  <c r="D233" i="4"/>
  <c r="O232" i="4"/>
  <c r="N232" i="4"/>
  <c r="M232" i="4"/>
  <c r="L232" i="4"/>
  <c r="F232" i="4"/>
  <c r="K232" i="4"/>
  <c r="I232" i="4"/>
  <c r="D232" i="4"/>
  <c r="O231" i="4"/>
  <c r="N231" i="4"/>
  <c r="M231" i="4"/>
  <c r="L231" i="4"/>
  <c r="F231" i="4"/>
  <c r="K231" i="4"/>
  <c r="I231" i="4"/>
  <c r="D231" i="4"/>
  <c r="O230" i="4"/>
  <c r="N230" i="4"/>
  <c r="M230" i="4"/>
  <c r="L230" i="4"/>
  <c r="F230" i="4"/>
  <c r="K230" i="4"/>
  <c r="I230" i="4"/>
  <c r="D230" i="4"/>
  <c r="O229" i="4"/>
  <c r="N229" i="4"/>
  <c r="M229" i="4"/>
  <c r="L229" i="4"/>
  <c r="F229" i="4"/>
  <c r="K229" i="4"/>
  <c r="I229" i="4"/>
  <c r="D229" i="4"/>
  <c r="O228" i="4"/>
  <c r="N228" i="4"/>
  <c r="M228" i="4"/>
  <c r="L228" i="4"/>
  <c r="F228" i="4"/>
  <c r="K228" i="4"/>
  <c r="I228" i="4"/>
  <c r="D228" i="4"/>
  <c r="O227" i="4"/>
  <c r="N227" i="4"/>
  <c r="M227" i="4"/>
  <c r="L227" i="4"/>
  <c r="F227" i="4"/>
  <c r="K227" i="4"/>
  <c r="I227" i="4"/>
  <c r="D227" i="4"/>
  <c r="O226" i="4"/>
  <c r="N226" i="4"/>
  <c r="M226" i="4"/>
  <c r="L226" i="4"/>
  <c r="F226" i="4"/>
  <c r="K226" i="4"/>
  <c r="I226" i="4"/>
  <c r="D226" i="4"/>
  <c r="O225" i="4"/>
  <c r="N225" i="4"/>
  <c r="M225" i="4"/>
  <c r="L225" i="4"/>
  <c r="F225" i="4"/>
  <c r="K225" i="4"/>
  <c r="I225" i="4"/>
  <c r="D225" i="4"/>
  <c r="O224" i="4"/>
  <c r="N224" i="4"/>
  <c r="M224" i="4"/>
  <c r="L224" i="4"/>
  <c r="F224" i="4"/>
  <c r="K224" i="4"/>
  <c r="I224" i="4"/>
  <c r="D224" i="4"/>
  <c r="O223" i="4"/>
  <c r="N223" i="4"/>
  <c r="M223" i="4"/>
  <c r="L223" i="4"/>
  <c r="F223" i="4"/>
  <c r="K223" i="4"/>
  <c r="I223" i="4"/>
  <c r="D223" i="4"/>
  <c r="O222" i="4"/>
  <c r="N222" i="4"/>
  <c r="M222" i="4"/>
  <c r="L222" i="4"/>
  <c r="F222" i="4"/>
  <c r="K222" i="4"/>
  <c r="I222" i="4"/>
  <c r="D222" i="4"/>
  <c r="O221" i="4"/>
  <c r="N221" i="4"/>
  <c r="M221" i="4"/>
  <c r="L221" i="4"/>
  <c r="F221" i="4"/>
  <c r="K221" i="4"/>
  <c r="I221" i="4"/>
  <c r="D221" i="4"/>
  <c r="O220" i="4"/>
  <c r="N220" i="4"/>
  <c r="M220" i="4"/>
  <c r="L220" i="4"/>
  <c r="F220" i="4"/>
  <c r="K220" i="4"/>
  <c r="I220" i="4"/>
  <c r="D220" i="4"/>
  <c r="O219" i="4"/>
  <c r="N219" i="4"/>
  <c r="M219" i="4"/>
  <c r="L219" i="4"/>
  <c r="F219" i="4"/>
  <c r="K219" i="4"/>
  <c r="I219" i="4"/>
  <c r="D219" i="4"/>
  <c r="O218" i="4"/>
  <c r="N218" i="4"/>
  <c r="M218" i="4"/>
  <c r="L218" i="4"/>
  <c r="F218" i="4"/>
  <c r="K218" i="4"/>
  <c r="I218" i="4"/>
  <c r="D218" i="4"/>
  <c r="O217" i="4"/>
  <c r="N217" i="4"/>
  <c r="M217" i="4"/>
  <c r="L217" i="4"/>
  <c r="F217" i="4"/>
  <c r="K217" i="4"/>
  <c r="I217" i="4"/>
  <c r="D217" i="4"/>
  <c r="O216" i="4"/>
  <c r="N216" i="4"/>
  <c r="M216" i="4"/>
  <c r="L216" i="4"/>
  <c r="F216" i="4"/>
  <c r="K216" i="4"/>
  <c r="I216" i="4"/>
  <c r="D216" i="4"/>
  <c r="O215" i="4"/>
  <c r="N215" i="4"/>
  <c r="M215" i="4"/>
  <c r="L215" i="4"/>
  <c r="F215" i="4"/>
  <c r="K215" i="4"/>
  <c r="I215" i="4"/>
  <c r="D215" i="4"/>
  <c r="O214" i="4"/>
  <c r="N214" i="4"/>
  <c r="M214" i="4"/>
  <c r="L214" i="4"/>
  <c r="F214" i="4"/>
  <c r="K214" i="4"/>
  <c r="I214" i="4"/>
  <c r="D214" i="4"/>
  <c r="O213" i="4"/>
  <c r="N213" i="4"/>
  <c r="M213" i="4"/>
  <c r="L213" i="4"/>
  <c r="F213" i="4"/>
  <c r="K213" i="4"/>
  <c r="I213" i="4"/>
  <c r="D213" i="4"/>
  <c r="O212" i="4"/>
  <c r="N212" i="4"/>
  <c r="M212" i="4"/>
  <c r="L212" i="4"/>
  <c r="F212" i="4"/>
  <c r="K212" i="4"/>
  <c r="I212" i="4"/>
  <c r="D212" i="4"/>
  <c r="O211" i="4"/>
  <c r="N211" i="4"/>
  <c r="M211" i="4"/>
  <c r="L211" i="4"/>
  <c r="F211" i="4"/>
  <c r="K211" i="4"/>
  <c r="I211" i="4"/>
  <c r="D211" i="4"/>
  <c r="O210" i="4"/>
  <c r="N210" i="4"/>
  <c r="M210" i="4"/>
  <c r="L210" i="4"/>
  <c r="F210" i="4"/>
  <c r="K210" i="4"/>
  <c r="I210" i="4"/>
  <c r="D210" i="4"/>
  <c r="O209" i="4"/>
  <c r="N209" i="4"/>
  <c r="M209" i="4"/>
  <c r="L209" i="4"/>
  <c r="F209" i="4"/>
  <c r="K209" i="4"/>
  <c r="I209" i="4"/>
  <c r="D209" i="4"/>
  <c r="O208" i="4"/>
  <c r="N208" i="4"/>
  <c r="M208" i="4"/>
  <c r="L208" i="4"/>
  <c r="F208" i="4"/>
  <c r="K208" i="4"/>
  <c r="I208" i="4"/>
  <c r="D208" i="4"/>
  <c r="O207" i="4"/>
  <c r="N207" i="4"/>
  <c r="M207" i="4"/>
  <c r="L207" i="4"/>
  <c r="F207" i="4"/>
  <c r="K207" i="4"/>
  <c r="I207" i="4"/>
  <c r="D207" i="4"/>
  <c r="O206" i="4"/>
  <c r="N206" i="4"/>
  <c r="M206" i="4"/>
  <c r="L206" i="4"/>
  <c r="F206" i="4"/>
  <c r="K206" i="4"/>
  <c r="I206" i="4"/>
  <c r="D206" i="4"/>
  <c r="O205" i="4"/>
  <c r="N205" i="4"/>
  <c r="M205" i="4"/>
  <c r="L205" i="4"/>
  <c r="F205" i="4"/>
  <c r="K205" i="4"/>
  <c r="I205" i="4"/>
  <c r="D205" i="4"/>
  <c r="O204" i="4"/>
  <c r="N204" i="4"/>
  <c r="M204" i="4"/>
  <c r="L204" i="4"/>
  <c r="F204" i="4"/>
  <c r="K204" i="4"/>
  <c r="I204" i="4"/>
  <c r="D204" i="4"/>
  <c r="O203" i="4"/>
  <c r="N203" i="4"/>
  <c r="M203" i="4"/>
  <c r="L203" i="4"/>
  <c r="F203" i="4"/>
  <c r="K203" i="4"/>
  <c r="I203" i="4"/>
  <c r="D203" i="4"/>
  <c r="O202" i="4"/>
  <c r="N202" i="4"/>
  <c r="M202" i="4"/>
  <c r="L202" i="4"/>
  <c r="F202" i="4"/>
  <c r="K202" i="4"/>
  <c r="I202" i="4"/>
  <c r="D202" i="4"/>
  <c r="O201" i="4"/>
  <c r="N201" i="4"/>
  <c r="M201" i="4"/>
  <c r="L201" i="4"/>
  <c r="F201" i="4"/>
  <c r="K201" i="4"/>
  <c r="I201" i="4"/>
  <c r="D201" i="4"/>
  <c r="O200" i="4"/>
  <c r="N200" i="4"/>
  <c r="M200" i="4"/>
  <c r="L200" i="4"/>
  <c r="F200" i="4"/>
  <c r="K200" i="4"/>
  <c r="I200" i="4"/>
  <c r="D200" i="4"/>
  <c r="O199" i="4"/>
  <c r="N199" i="4"/>
  <c r="M199" i="4"/>
  <c r="L199" i="4"/>
  <c r="F199" i="4"/>
  <c r="K199" i="4"/>
  <c r="I199" i="4"/>
  <c r="D199" i="4"/>
  <c r="O198" i="4"/>
  <c r="N198" i="4"/>
  <c r="M198" i="4"/>
  <c r="L198" i="4"/>
  <c r="F198" i="4"/>
  <c r="K198" i="4"/>
  <c r="I198" i="4"/>
  <c r="D198" i="4"/>
  <c r="O197" i="4"/>
  <c r="N197" i="4"/>
  <c r="M197" i="4"/>
  <c r="L197" i="4"/>
  <c r="F197" i="4"/>
  <c r="K197" i="4"/>
  <c r="I197" i="4"/>
  <c r="D197" i="4"/>
  <c r="O196" i="4"/>
  <c r="N196" i="4"/>
  <c r="M196" i="4"/>
  <c r="L196" i="4"/>
  <c r="F196" i="4"/>
  <c r="K196" i="4"/>
  <c r="I196" i="4"/>
  <c r="D196" i="4"/>
  <c r="O195" i="4"/>
  <c r="N195" i="4"/>
  <c r="M195" i="4"/>
  <c r="L195" i="4"/>
  <c r="F195" i="4"/>
  <c r="K195" i="4"/>
  <c r="I195" i="4"/>
  <c r="D195" i="4"/>
  <c r="O194" i="4"/>
  <c r="N194" i="4"/>
  <c r="M194" i="4"/>
  <c r="L194" i="4"/>
  <c r="F194" i="4"/>
  <c r="K194" i="4"/>
  <c r="I194" i="4"/>
  <c r="D194" i="4"/>
  <c r="O193" i="4"/>
  <c r="N193" i="4"/>
  <c r="M193" i="4"/>
  <c r="L193" i="4"/>
  <c r="F193" i="4"/>
  <c r="K193" i="4"/>
  <c r="I193" i="4"/>
  <c r="D193" i="4"/>
  <c r="O192" i="4"/>
  <c r="N192" i="4"/>
  <c r="M192" i="4"/>
  <c r="L192" i="4"/>
  <c r="F192" i="4"/>
  <c r="K192" i="4"/>
  <c r="I192" i="4"/>
  <c r="D192" i="4"/>
  <c r="O191" i="4"/>
  <c r="N191" i="4"/>
  <c r="M191" i="4"/>
  <c r="L191" i="4"/>
  <c r="F191" i="4"/>
  <c r="K191" i="4"/>
  <c r="I191" i="4"/>
  <c r="D191" i="4"/>
  <c r="O190" i="4"/>
  <c r="N190" i="4"/>
  <c r="M190" i="4"/>
  <c r="L190" i="4"/>
  <c r="F190" i="4"/>
  <c r="K190" i="4"/>
  <c r="I190" i="4"/>
  <c r="D190" i="4"/>
  <c r="O189" i="4"/>
  <c r="N189" i="4"/>
  <c r="M189" i="4"/>
  <c r="L189" i="4"/>
  <c r="F189" i="4"/>
  <c r="K189" i="4"/>
  <c r="I189" i="4"/>
  <c r="D189" i="4"/>
  <c r="O188" i="4"/>
  <c r="N188" i="4"/>
  <c r="M188" i="4"/>
  <c r="L188" i="4"/>
  <c r="F188" i="4"/>
  <c r="K188" i="4"/>
  <c r="I188" i="4"/>
  <c r="D188" i="4"/>
  <c r="O187" i="4"/>
  <c r="N187" i="4"/>
  <c r="M187" i="4"/>
  <c r="L187" i="4"/>
  <c r="F187" i="4"/>
  <c r="K187" i="4"/>
  <c r="I187" i="4"/>
  <c r="D187" i="4"/>
  <c r="O186" i="4"/>
  <c r="N186" i="4"/>
  <c r="M186" i="4"/>
  <c r="L186" i="4"/>
  <c r="F186" i="4"/>
  <c r="K186" i="4"/>
  <c r="I186" i="4"/>
  <c r="D186" i="4"/>
  <c r="O185" i="4"/>
  <c r="N185" i="4"/>
  <c r="M185" i="4"/>
  <c r="L185" i="4"/>
  <c r="F185" i="4"/>
  <c r="K185" i="4"/>
  <c r="I185" i="4"/>
  <c r="D185" i="4"/>
  <c r="O184" i="4"/>
  <c r="N184" i="4"/>
  <c r="M184" i="4"/>
  <c r="L184" i="4"/>
  <c r="F184" i="4"/>
  <c r="K184" i="4"/>
  <c r="I184" i="4"/>
  <c r="D184" i="4"/>
  <c r="O183" i="4"/>
  <c r="N183" i="4"/>
  <c r="M183" i="4"/>
  <c r="L183" i="4"/>
  <c r="F183" i="4"/>
  <c r="K183" i="4"/>
  <c r="I183" i="4"/>
  <c r="D183" i="4"/>
  <c r="O182" i="4"/>
  <c r="N182" i="4"/>
  <c r="M182" i="4"/>
  <c r="L182" i="4"/>
  <c r="F182" i="4"/>
  <c r="K182" i="4"/>
  <c r="I182" i="4"/>
  <c r="D182" i="4"/>
  <c r="O181" i="4"/>
  <c r="N181" i="4"/>
  <c r="M181" i="4"/>
  <c r="L181" i="4"/>
  <c r="F181" i="4"/>
  <c r="K181" i="4"/>
  <c r="I181" i="4"/>
  <c r="D181" i="4"/>
  <c r="O180" i="4"/>
  <c r="N180" i="4"/>
  <c r="M180" i="4"/>
  <c r="L180" i="4"/>
  <c r="F180" i="4"/>
  <c r="K180" i="4"/>
  <c r="I180" i="4"/>
  <c r="D180" i="4"/>
  <c r="O179" i="4"/>
  <c r="N179" i="4"/>
  <c r="M179" i="4"/>
  <c r="L179" i="4"/>
  <c r="F179" i="4"/>
  <c r="K179" i="4"/>
  <c r="I179" i="4"/>
  <c r="D179" i="4"/>
  <c r="O178" i="4"/>
  <c r="N178" i="4"/>
  <c r="M178" i="4"/>
  <c r="L178" i="4"/>
  <c r="F178" i="4"/>
  <c r="K178" i="4"/>
  <c r="I178" i="4"/>
  <c r="D178" i="4"/>
  <c r="O177" i="4"/>
  <c r="N177" i="4"/>
  <c r="M177" i="4"/>
  <c r="L177" i="4"/>
  <c r="F177" i="4"/>
  <c r="K177" i="4"/>
  <c r="I177" i="4"/>
  <c r="D177" i="4"/>
  <c r="O176" i="4"/>
  <c r="N176" i="4"/>
  <c r="M176" i="4"/>
  <c r="L176" i="4"/>
  <c r="F176" i="4"/>
  <c r="K176" i="4"/>
  <c r="I176" i="4"/>
  <c r="D176" i="4"/>
  <c r="O175" i="4"/>
  <c r="N175" i="4"/>
  <c r="M175" i="4"/>
  <c r="L175" i="4"/>
  <c r="F175" i="4"/>
  <c r="K175" i="4"/>
  <c r="I175" i="4"/>
  <c r="D175" i="4"/>
  <c r="O174" i="4"/>
  <c r="N174" i="4"/>
  <c r="M174" i="4"/>
  <c r="L174" i="4"/>
  <c r="F174" i="4"/>
  <c r="K174" i="4"/>
  <c r="I174" i="4"/>
  <c r="D174" i="4"/>
  <c r="O173" i="4"/>
  <c r="N173" i="4"/>
  <c r="M173" i="4"/>
  <c r="L173" i="4"/>
  <c r="F173" i="4"/>
  <c r="K173" i="4"/>
  <c r="I173" i="4"/>
  <c r="D173" i="4"/>
  <c r="O172" i="4"/>
  <c r="N172" i="4"/>
  <c r="M172" i="4"/>
  <c r="L172" i="4"/>
  <c r="F172" i="4"/>
  <c r="K172" i="4"/>
  <c r="I172" i="4"/>
  <c r="D172" i="4"/>
  <c r="O171" i="4"/>
  <c r="N171" i="4"/>
  <c r="M171" i="4"/>
  <c r="L171" i="4"/>
  <c r="F171" i="4"/>
  <c r="K171" i="4"/>
  <c r="I171" i="4"/>
  <c r="D171" i="4"/>
  <c r="O170" i="4"/>
  <c r="N170" i="4"/>
  <c r="M170" i="4"/>
  <c r="L170" i="4"/>
  <c r="F170" i="4"/>
  <c r="K170" i="4"/>
  <c r="I170" i="4"/>
  <c r="D170" i="4"/>
  <c r="O169" i="4"/>
  <c r="N169" i="4"/>
  <c r="M169" i="4"/>
  <c r="L169" i="4"/>
  <c r="F169" i="4"/>
  <c r="K169" i="4"/>
  <c r="I169" i="4"/>
  <c r="D169" i="4"/>
  <c r="O168" i="4"/>
  <c r="N168" i="4"/>
  <c r="M168" i="4"/>
  <c r="L168" i="4"/>
  <c r="F168" i="4"/>
  <c r="K168" i="4"/>
  <c r="I168" i="4"/>
  <c r="D168" i="4"/>
  <c r="O167" i="4"/>
  <c r="N167" i="4"/>
  <c r="M167" i="4"/>
  <c r="L167" i="4"/>
  <c r="F167" i="4"/>
  <c r="K167" i="4"/>
  <c r="I167" i="4"/>
  <c r="D167" i="4"/>
  <c r="O166" i="4"/>
  <c r="N166" i="4"/>
  <c r="M166" i="4"/>
  <c r="L166" i="4"/>
  <c r="F166" i="4"/>
  <c r="K166" i="4"/>
  <c r="I166" i="4"/>
  <c r="D166" i="4"/>
  <c r="O165" i="4"/>
  <c r="N165" i="4"/>
  <c r="M165" i="4"/>
  <c r="L165" i="4"/>
  <c r="F165" i="4"/>
  <c r="K165" i="4"/>
  <c r="I165" i="4"/>
  <c r="D165" i="4"/>
  <c r="O164" i="4"/>
  <c r="N164" i="4"/>
  <c r="M164" i="4"/>
  <c r="L164" i="4"/>
  <c r="F164" i="4"/>
  <c r="K164" i="4"/>
  <c r="I164" i="4"/>
  <c r="D164" i="4"/>
  <c r="O163" i="4"/>
  <c r="N163" i="4"/>
  <c r="M163" i="4"/>
  <c r="L163" i="4"/>
  <c r="F163" i="4"/>
  <c r="K163" i="4"/>
  <c r="I163" i="4"/>
  <c r="D163" i="4"/>
  <c r="O162" i="4"/>
  <c r="N162" i="4"/>
  <c r="M162" i="4"/>
  <c r="L162" i="4"/>
  <c r="F162" i="4"/>
  <c r="K162" i="4"/>
  <c r="I162" i="4"/>
  <c r="D162" i="4"/>
  <c r="O161" i="4"/>
  <c r="N161" i="4"/>
  <c r="M161" i="4"/>
  <c r="L161" i="4"/>
  <c r="F161" i="4"/>
  <c r="K161" i="4"/>
  <c r="I161" i="4"/>
  <c r="D161" i="4"/>
  <c r="O160" i="4"/>
  <c r="N160" i="4"/>
  <c r="M160" i="4"/>
  <c r="L160" i="4"/>
  <c r="F160" i="4"/>
  <c r="K160" i="4"/>
  <c r="I160" i="4"/>
  <c r="D160" i="4"/>
  <c r="O159" i="4"/>
  <c r="N159" i="4"/>
  <c r="M159" i="4"/>
  <c r="L159" i="4"/>
  <c r="F159" i="4"/>
  <c r="K159" i="4"/>
  <c r="I159" i="4"/>
  <c r="D159" i="4"/>
  <c r="O158" i="4"/>
  <c r="N158" i="4"/>
  <c r="M158" i="4"/>
  <c r="L158" i="4"/>
  <c r="F158" i="4"/>
  <c r="K158" i="4"/>
  <c r="I158" i="4"/>
  <c r="D158" i="4"/>
  <c r="O157" i="4"/>
  <c r="N157" i="4"/>
  <c r="M157" i="4"/>
  <c r="L157" i="4"/>
  <c r="F157" i="4"/>
  <c r="K157" i="4"/>
  <c r="I157" i="4"/>
  <c r="D157" i="4"/>
  <c r="O156" i="4"/>
  <c r="N156" i="4"/>
  <c r="M156" i="4"/>
  <c r="L156" i="4"/>
  <c r="F156" i="4"/>
  <c r="K156" i="4"/>
  <c r="I156" i="4"/>
  <c r="D156" i="4"/>
  <c r="O155" i="4"/>
  <c r="N155" i="4"/>
  <c r="M155" i="4"/>
  <c r="L155" i="4"/>
  <c r="F155" i="4"/>
  <c r="K155" i="4"/>
  <c r="I155" i="4"/>
  <c r="D155" i="4"/>
  <c r="O154" i="4"/>
  <c r="N154" i="4"/>
  <c r="M154" i="4"/>
  <c r="L154" i="4"/>
  <c r="F154" i="4"/>
  <c r="K154" i="4"/>
  <c r="I154" i="4"/>
  <c r="D154" i="4"/>
  <c r="O153" i="4"/>
  <c r="N153" i="4"/>
  <c r="M153" i="4"/>
  <c r="L153" i="4"/>
  <c r="F153" i="4"/>
  <c r="K153" i="4"/>
  <c r="I153" i="4"/>
  <c r="D153" i="4"/>
  <c r="O152" i="4"/>
  <c r="N152" i="4"/>
  <c r="M152" i="4"/>
  <c r="L152" i="4"/>
  <c r="F152" i="4"/>
  <c r="K152" i="4"/>
  <c r="I152" i="4"/>
  <c r="D152" i="4"/>
  <c r="O151" i="4"/>
  <c r="N151" i="4"/>
  <c r="M151" i="4"/>
  <c r="L151" i="4"/>
  <c r="F151" i="4"/>
  <c r="K151" i="4"/>
  <c r="I151" i="4"/>
  <c r="D151" i="4"/>
  <c r="O150" i="4"/>
  <c r="N150" i="4"/>
  <c r="M150" i="4"/>
  <c r="L150" i="4"/>
  <c r="F150" i="4"/>
  <c r="K150" i="4"/>
  <c r="I150" i="4"/>
  <c r="D150" i="4"/>
  <c r="O149" i="4"/>
  <c r="N149" i="4"/>
  <c r="M149" i="4"/>
  <c r="L149" i="4"/>
  <c r="F149" i="4"/>
  <c r="K149" i="4"/>
  <c r="I149" i="4"/>
  <c r="D149" i="4"/>
  <c r="O148" i="4"/>
  <c r="N148" i="4"/>
  <c r="M148" i="4"/>
  <c r="L148" i="4"/>
  <c r="F148" i="4"/>
  <c r="K148" i="4"/>
  <c r="I148" i="4"/>
  <c r="D148" i="4"/>
  <c r="O147" i="4"/>
  <c r="N147" i="4"/>
  <c r="M147" i="4"/>
  <c r="L147" i="4"/>
  <c r="F147" i="4"/>
  <c r="K147" i="4"/>
  <c r="I147" i="4"/>
  <c r="D147" i="4"/>
  <c r="O146" i="4"/>
  <c r="N146" i="4"/>
  <c r="M146" i="4"/>
  <c r="L146" i="4"/>
  <c r="F146" i="4"/>
  <c r="K146" i="4"/>
  <c r="I146" i="4"/>
  <c r="D146" i="4"/>
  <c r="O145" i="4"/>
  <c r="N145" i="4"/>
  <c r="M145" i="4"/>
  <c r="L145" i="4"/>
  <c r="F145" i="4"/>
  <c r="K145" i="4"/>
  <c r="I145" i="4"/>
  <c r="D145" i="4"/>
  <c r="O144" i="4"/>
  <c r="N144" i="4"/>
  <c r="M144" i="4"/>
  <c r="L144" i="4"/>
  <c r="F144" i="4"/>
  <c r="K144" i="4"/>
  <c r="I144" i="4"/>
  <c r="D144" i="4"/>
  <c r="O143" i="4"/>
  <c r="N143" i="4"/>
  <c r="M143" i="4"/>
  <c r="L143" i="4"/>
  <c r="F143" i="4"/>
  <c r="K143" i="4"/>
  <c r="I143" i="4"/>
  <c r="D143" i="4"/>
  <c r="O142" i="4"/>
  <c r="N142" i="4"/>
  <c r="M142" i="4"/>
  <c r="L142" i="4"/>
  <c r="F142" i="4"/>
  <c r="K142" i="4"/>
  <c r="I142" i="4"/>
  <c r="D142" i="4"/>
  <c r="O141" i="4"/>
  <c r="N141" i="4"/>
  <c r="M141" i="4"/>
  <c r="L141" i="4"/>
  <c r="F141" i="4"/>
  <c r="K141" i="4"/>
  <c r="I141" i="4"/>
  <c r="D141" i="4"/>
  <c r="O140" i="4"/>
  <c r="N140" i="4"/>
  <c r="M140" i="4"/>
  <c r="L140" i="4"/>
  <c r="F140" i="4"/>
  <c r="K140" i="4"/>
  <c r="I140" i="4"/>
  <c r="D140" i="4"/>
  <c r="O139" i="4"/>
  <c r="N139" i="4"/>
  <c r="M139" i="4"/>
  <c r="L139" i="4"/>
  <c r="F139" i="4"/>
  <c r="K139" i="4"/>
  <c r="I139" i="4"/>
  <c r="D139" i="4"/>
  <c r="O138" i="4"/>
  <c r="N138" i="4"/>
  <c r="M138" i="4"/>
  <c r="L138" i="4"/>
  <c r="F138" i="4"/>
  <c r="K138" i="4"/>
  <c r="I138" i="4"/>
  <c r="D138" i="4"/>
  <c r="O137" i="4"/>
  <c r="N137" i="4"/>
  <c r="M137" i="4"/>
  <c r="L137" i="4"/>
  <c r="F137" i="4"/>
  <c r="K137" i="4"/>
  <c r="I137" i="4"/>
  <c r="D137" i="4"/>
  <c r="O136" i="4"/>
  <c r="N136" i="4"/>
  <c r="M136" i="4"/>
  <c r="L136" i="4"/>
  <c r="F136" i="4"/>
  <c r="K136" i="4"/>
  <c r="I136" i="4"/>
  <c r="D136" i="4"/>
  <c r="O135" i="4"/>
  <c r="N135" i="4"/>
  <c r="M135" i="4"/>
  <c r="L135" i="4"/>
  <c r="F135" i="4"/>
  <c r="K135" i="4"/>
  <c r="I135" i="4"/>
  <c r="D135" i="4"/>
  <c r="O134" i="4"/>
  <c r="N134" i="4"/>
  <c r="M134" i="4"/>
  <c r="L134" i="4"/>
  <c r="F134" i="4"/>
  <c r="K134" i="4"/>
  <c r="I134" i="4"/>
  <c r="D134" i="4"/>
  <c r="O133" i="4"/>
  <c r="N133" i="4"/>
  <c r="M133" i="4"/>
  <c r="L133" i="4"/>
  <c r="F133" i="4"/>
  <c r="K133" i="4"/>
  <c r="I133" i="4"/>
  <c r="D133" i="4"/>
  <c r="O132" i="4"/>
  <c r="N132" i="4"/>
  <c r="M132" i="4"/>
  <c r="L132" i="4"/>
  <c r="F132" i="4"/>
  <c r="K132" i="4"/>
  <c r="I132" i="4"/>
  <c r="D132" i="4"/>
  <c r="O131" i="4"/>
  <c r="N131" i="4"/>
  <c r="M131" i="4"/>
  <c r="L131" i="4"/>
  <c r="F131" i="4"/>
  <c r="K131" i="4"/>
  <c r="I131" i="4"/>
  <c r="D131" i="4"/>
  <c r="O130" i="4"/>
  <c r="N130" i="4"/>
  <c r="M130" i="4"/>
  <c r="L130" i="4"/>
  <c r="F130" i="4"/>
  <c r="K130" i="4"/>
  <c r="I130" i="4"/>
  <c r="D130" i="4"/>
  <c r="O129" i="4"/>
  <c r="N129" i="4"/>
  <c r="M129" i="4"/>
  <c r="L129" i="4"/>
  <c r="F129" i="4"/>
  <c r="K129" i="4"/>
  <c r="I129" i="4"/>
  <c r="D129" i="4"/>
  <c r="O128" i="4"/>
  <c r="N128" i="4"/>
  <c r="M128" i="4"/>
  <c r="L128" i="4"/>
  <c r="F128" i="4"/>
  <c r="K128" i="4"/>
  <c r="I128" i="4"/>
  <c r="D128" i="4"/>
  <c r="O127" i="4"/>
  <c r="N127" i="4"/>
  <c r="M127" i="4"/>
  <c r="L127" i="4"/>
  <c r="F127" i="4"/>
  <c r="K127" i="4"/>
  <c r="I127" i="4"/>
  <c r="D127" i="4"/>
  <c r="O126" i="4"/>
  <c r="N126" i="4"/>
  <c r="M126" i="4"/>
  <c r="L126" i="4"/>
  <c r="F126" i="4"/>
  <c r="K126" i="4"/>
  <c r="I126" i="4"/>
  <c r="D126" i="4"/>
  <c r="O125" i="4"/>
  <c r="N125" i="4"/>
  <c r="M125" i="4"/>
  <c r="L125" i="4"/>
  <c r="F125" i="4"/>
  <c r="K125" i="4"/>
  <c r="I125" i="4"/>
  <c r="D125" i="4"/>
  <c r="O124" i="4"/>
  <c r="N124" i="4"/>
  <c r="M124" i="4"/>
  <c r="L124" i="4"/>
  <c r="F124" i="4"/>
  <c r="K124" i="4"/>
  <c r="I124" i="4"/>
  <c r="D124" i="4"/>
  <c r="O123" i="4"/>
  <c r="N123" i="4"/>
  <c r="M123" i="4"/>
  <c r="L123" i="4"/>
  <c r="F123" i="4"/>
  <c r="K123" i="4"/>
  <c r="I123" i="4"/>
  <c r="D123" i="4"/>
  <c r="O122" i="4"/>
  <c r="N122" i="4"/>
  <c r="M122" i="4"/>
  <c r="L122" i="4"/>
  <c r="F122" i="4"/>
  <c r="K122" i="4"/>
  <c r="I122" i="4"/>
  <c r="D122" i="4"/>
  <c r="O121" i="4"/>
  <c r="N121" i="4"/>
  <c r="M121" i="4"/>
  <c r="L121" i="4"/>
  <c r="F121" i="4"/>
  <c r="K121" i="4"/>
  <c r="I121" i="4"/>
  <c r="D121" i="4"/>
  <c r="O120" i="4"/>
  <c r="N120" i="4"/>
  <c r="M120" i="4"/>
  <c r="L120" i="4"/>
  <c r="F120" i="4"/>
  <c r="K120" i="4"/>
  <c r="I120" i="4"/>
  <c r="D120" i="4"/>
  <c r="O119" i="4"/>
  <c r="N119" i="4"/>
  <c r="M119" i="4"/>
  <c r="L119" i="4"/>
  <c r="F119" i="4"/>
  <c r="K119" i="4"/>
  <c r="I119" i="4"/>
  <c r="D119" i="4"/>
  <c r="O118" i="4"/>
  <c r="N118" i="4"/>
  <c r="M118" i="4"/>
  <c r="L118" i="4"/>
  <c r="F118" i="4"/>
  <c r="K118" i="4"/>
  <c r="I118" i="4"/>
  <c r="D118" i="4"/>
  <c r="O117" i="4"/>
  <c r="N117" i="4"/>
  <c r="M117" i="4"/>
  <c r="L117" i="4"/>
  <c r="F117" i="4"/>
  <c r="K117" i="4"/>
  <c r="I117" i="4"/>
  <c r="D117" i="4"/>
  <c r="O116" i="4"/>
  <c r="N116" i="4"/>
  <c r="M116" i="4"/>
  <c r="L116" i="4"/>
  <c r="F116" i="4"/>
  <c r="K116" i="4"/>
  <c r="I116" i="4"/>
  <c r="D116" i="4"/>
  <c r="O115" i="4"/>
  <c r="N115" i="4"/>
  <c r="M115" i="4"/>
  <c r="L115" i="4"/>
  <c r="F115" i="4"/>
  <c r="K115" i="4"/>
  <c r="I115" i="4"/>
  <c r="D115" i="4"/>
  <c r="O114" i="4"/>
  <c r="N114" i="4"/>
  <c r="M114" i="4"/>
  <c r="L114" i="4"/>
  <c r="F114" i="4"/>
  <c r="K114" i="4"/>
  <c r="I114" i="4"/>
  <c r="D114" i="4"/>
  <c r="O113" i="4"/>
  <c r="N113" i="4"/>
  <c r="M113" i="4"/>
  <c r="L113" i="4"/>
  <c r="F113" i="4"/>
  <c r="K113" i="4"/>
  <c r="I113" i="4"/>
  <c r="D113" i="4"/>
  <c r="O112" i="4"/>
  <c r="N112" i="4"/>
  <c r="M112" i="4"/>
  <c r="L112" i="4"/>
  <c r="F112" i="4"/>
  <c r="K112" i="4"/>
  <c r="I112" i="4"/>
  <c r="D112" i="4"/>
  <c r="O111" i="4"/>
  <c r="N111" i="4"/>
  <c r="M111" i="4"/>
  <c r="L111" i="4"/>
  <c r="F111" i="4"/>
  <c r="K111" i="4"/>
  <c r="I111" i="4"/>
  <c r="D111" i="4"/>
  <c r="O110" i="4"/>
  <c r="N110" i="4"/>
  <c r="M110" i="4"/>
  <c r="L110" i="4"/>
  <c r="F110" i="4"/>
  <c r="K110" i="4"/>
  <c r="I110" i="4"/>
  <c r="D110" i="4"/>
  <c r="O109" i="4"/>
  <c r="N109" i="4"/>
  <c r="M109" i="4"/>
  <c r="L109" i="4"/>
  <c r="F109" i="4"/>
  <c r="K109" i="4"/>
  <c r="I109" i="4"/>
  <c r="D109" i="4"/>
  <c r="O108" i="4"/>
  <c r="N108" i="4"/>
  <c r="M108" i="4"/>
  <c r="L108" i="4"/>
  <c r="F108" i="4"/>
  <c r="K108" i="4"/>
  <c r="I108" i="4"/>
  <c r="D108" i="4"/>
  <c r="O107" i="4"/>
  <c r="N107" i="4"/>
  <c r="M107" i="4"/>
  <c r="L107" i="4"/>
  <c r="F107" i="4"/>
  <c r="K107" i="4"/>
  <c r="I107" i="4"/>
  <c r="D107" i="4"/>
  <c r="O106" i="4"/>
  <c r="N106" i="4"/>
  <c r="M106" i="4"/>
  <c r="L106" i="4"/>
  <c r="F106" i="4"/>
  <c r="K106" i="4"/>
  <c r="I106" i="4"/>
  <c r="D106" i="4"/>
  <c r="O105" i="4"/>
  <c r="N105" i="4"/>
  <c r="M105" i="4"/>
  <c r="L105" i="4"/>
  <c r="F105" i="4"/>
  <c r="K105" i="4"/>
  <c r="I105" i="4"/>
  <c r="D105" i="4"/>
  <c r="O104" i="4"/>
  <c r="N104" i="4"/>
  <c r="M104" i="4"/>
  <c r="L104" i="4"/>
  <c r="F104" i="4"/>
  <c r="K104" i="4"/>
  <c r="I104" i="4"/>
  <c r="D104" i="4"/>
  <c r="O103" i="4"/>
  <c r="N103" i="4"/>
  <c r="M103" i="4"/>
  <c r="L103" i="4"/>
  <c r="F103" i="4"/>
  <c r="K103" i="4"/>
  <c r="I103" i="4"/>
  <c r="D103" i="4"/>
  <c r="O102" i="4"/>
  <c r="N102" i="4"/>
  <c r="M102" i="4"/>
  <c r="L102" i="4"/>
  <c r="F102" i="4"/>
  <c r="K102" i="4"/>
  <c r="I102" i="4"/>
  <c r="D102" i="4"/>
  <c r="O101" i="4"/>
  <c r="N101" i="4"/>
  <c r="M101" i="4"/>
  <c r="L101" i="4"/>
  <c r="F101" i="4"/>
  <c r="K101" i="4"/>
  <c r="I101" i="4"/>
  <c r="D101" i="4"/>
  <c r="O100" i="4"/>
  <c r="N100" i="4"/>
  <c r="M100" i="4"/>
  <c r="L100" i="4"/>
  <c r="F100" i="4"/>
  <c r="K100" i="4"/>
  <c r="I100" i="4"/>
  <c r="D100" i="4"/>
  <c r="O99" i="4"/>
  <c r="N99" i="4"/>
  <c r="M99" i="4"/>
  <c r="L99" i="4"/>
  <c r="F99" i="4"/>
  <c r="K99" i="4"/>
  <c r="I99" i="4"/>
  <c r="D99" i="4"/>
  <c r="O98" i="4"/>
  <c r="N98" i="4"/>
  <c r="M98" i="4"/>
  <c r="L98" i="4"/>
  <c r="F98" i="4"/>
  <c r="K98" i="4"/>
  <c r="I98" i="4"/>
  <c r="D98" i="4"/>
  <c r="O97" i="4"/>
  <c r="N97" i="4"/>
  <c r="M97" i="4"/>
  <c r="L97" i="4"/>
  <c r="F97" i="4"/>
  <c r="K97" i="4"/>
  <c r="I97" i="4"/>
  <c r="D97" i="4"/>
  <c r="O96" i="4"/>
  <c r="N96" i="4"/>
  <c r="M96" i="4"/>
  <c r="L96" i="4"/>
  <c r="F96" i="4"/>
  <c r="K96" i="4"/>
  <c r="I96" i="4"/>
  <c r="D96" i="4"/>
  <c r="O95" i="4"/>
  <c r="N95" i="4"/>
  <c r="M95" i="4"/>
  <c r="L95" i="4"/>
  <c r="F95" i="4"/>
  <c r="K95" i="4"/>
  <c r="I95" i="4"/>
  <c r="D95" i="4"/>
  <c r="O94" i="4"/>
  <c r="N94" i="4"/>
  <c r="M94" i="4"/>
  <c r="L94" i="4"/>
  <c r="F94" i="4"/>
  <c r="K94" i="4"/>
  <c r="I94" i="4"/>
  <c r="D94" i="4"/>
  <c r="O93" i="4"/>
  <c r="N93" i="4"/>
  <c r="M93" i="4"/>
  <c r="L93" i="4"/>
  <c r="F93" i="4"/>
  <c r="K93" i="4"/>
  <c r="I93" i="4"/>
  <c r="D93" i="4"/>
  <c r="O92" i="4"/>
  <c r="N92" i="4"/>
  <c r="M92" i="4"/>
  <c r="L92" i="4"/>
  <c r="F92" i="4"/>
  <c r="K92" i="4"/>
  <c r="I92" i="4"/>
  <c r="D92" i="4"/>
  <c r="O91" i="4"/>
  <c r="N91" i="4"/>
  <c r="M91" i="4"/>
  <c r="L91" i="4"/>
  <c r="F91" i="4"/>
  <c r="K91" i="4"/>
  <c r="I91" i="4"/>
  <c r="D91" i="4"/>
  <c r="O90" i="4"/>
  <c r="N90" i="4"/>
  <c r="M90" i="4"/>
  <c r="L90" i="4"/>
  <c r="F90" i="4"/>
  <c r="K90" i="4"/>
  <c r="I90" i="4"/>
  <c r="D90" i="4"/>
  <c r="O89" i="4"/>
  <c r="N89" i="4"/>
  <c r="M89" i="4"/>
  <c r="L89" i="4"/>
  <c r="F89" i="4"/>
  <c r="K89" i="4"/>
  <c r="I89" i="4"/>
  <c r="D89" i="4"/>
  <c r="O88" i="4"/>
  <c r="N88" i="4"/>
  <c r="M88" i="4"/>
  <c r="L88" i="4"/>
  <c r="F88" i="4"/>
  <c r="K88" i="4"/>
  <c r="I88" i="4"/>
  <c r="D88" i="4"/>
  <c r="O87" i="4"/>
  <c r="N87" i="4"/>
  <c r="M87" i="4"/>
  <c r="L87" i="4"/>
  <c r="F87" i="4"/>
  <c r="K87" i="4"/>
  <c r="I87" i="4"/>
  <c r="D87" i="4"/>
  <c r="O86" i="4"/>
  <c r="N86" i="4"/>
  <c r="M86" i="4"/>
  <c r="L86" i="4"/>
  <c r="F86" i="4"/>
  <c r="K86" i="4"/>
  <c r="I86" i="4"/>
  <c r="D86" i="4"/>
  <c r="O85" i="4"/>
  <c r="N85" i="4"/>
  <c r="M85" i="4"/>
  <c r="L85" i="4"/>
  <c r="F85" i="4"/>
  <c r="K85" i="4"/>
  <c r="I85" i="4"/>
  <c r="D85" i="4"/>
  <c r="O84" i="4"/>
  <c r="N84" i="4"/>
  <c r="M84" i="4"/>
  <c r="L84" i="4"/>
  <c r="F84" i="4"/>
  <c r="K84" i="4"/>
  <c r="I84" i="4"/>
  <c r="D84" i="4"/>
  <c r="O83" i="4"/>
  <c r="N83" i="4"/>
  <c r="M83" i="4"/>
  <c r="L83" i="4"/>
  <c r="F83" i="4"/>
  <c r="K83" i="4"/>
  <c r="I83" i="4"/>
  <c r="D83" i="4"/>
  <c r="O82" i="4"/>
  <c r="N82" i="4"/>
  <c r="M82" i="4"/>
  <c r="L82" i="4"/>
  <c r="F82" i="4"/>
  <c r="K82" i="4"/>
  <c r="I82" i="4"/>
  <c r="D82" i="4"/>
  <c r="O81" i="4"/>
  <c r="N81" i="4"/>
  <c r="M81" i="4"/>
  <c r="L81" i="4"/>
  <c r="F81" i="4"/>
  <c r="K81" i="4"/>
  <c r="I81" i="4"/>
  <c r="D81" i="4"/>
  <c r="O80" i="4"/>
  <c r="N80" i="4"/>
  <c r="M80" i="4"/>
  <c r="L80" i="4"/>
  <c r="F80" i="4"/>
  <c r="K80" i="4"/>
  <c r="I80" i="4"/>
  <c r="D80" i="4"/>
  <c r="O79" i="4"/>
  <c r="N79" i="4"/>
  <c r="M79" i="4"/>
  <c r="L79" i="4"/>
  <c r="F79" i="4"/>
  <c r="K79" i="4"/>
  <c r="I79" i="4"/>
  <c r="D79" i="4"/>
  <c r="O78" i="4"/>
  <c r="N78" i="4"/>
  <c r="M78" i="4"/>
  <c r="L78" i="4"/>
  <c r="F78" i="4"/>
  <c r="K78" i="4"/>
  <c r="I78" i="4"/>
  <c r="D78" i="4"/>
  <c r="O77" i="4"/>
  <c r="N77" i="4"/>
  <c r="M77" i="4"/>
  <c r="L77" i="4"/>
  <c r="F77" i="4"/>
  <c r="K77" i="4"/>
  <c r="I77" i="4"/>
  <c r="D77" i="4"/>
  <c r="O76" i="4"/>
  <c r="N76" i="4"/>
  <c r="M76" i="4"/>
  <c r="L76" i="4"/>
  <c r="F76" i="4"/>
  <c r="K76" i="4"/>
  <c r="I76" i="4"/>
  <c r="D76" i="4"/>
  <c r="O75" i="4"/>
  <c r="N75" i="4"/>
  <c r="M75" i="4"/>
  <c r="L75" i="4"/>
  <c r="F75" i="4"/>
  <c r="K75" i="4"/>
  <c r="I75" i="4"/>
  <c r="D75" i="4"/>
  <c r="O74" i="4"/>
  <c r="N74" i="4"/>
  <c r="M74" i="4"/>
  <c r="L74" i="4"/>
  <c r="F74" i="4"/>
  <c r="K74" i="4"/>
  <c r="I74" i="4"/>
  <c r="D74" i="4"/>
  <c r="O73" i="4"/>
  <c r="N73" i="4"/>
  <c r="M73" i="4"/>
  <c r="L73" i="4"/>
  <c r="F73" i="4"/>
  <c r="K73" i="4"/>
  <c r="I73" i="4"/>
  <c r="D73" i="4"/>
  <c r="O72" i="4"/>
  <c r="N72" i="4"/>
  <c r="M72" i="4"/>
  <c r="L72" i="4"/>
  <c r="F72" i="4"/>
  <c r="K72" i="4"/>
  <c r="I72" i="4"/>
  <c r="D72" i="4"/>
  <c r="O71" i="4"/>
  <c r="N71" i="4"/>
  <c r="M71" i="4"/>
  <c r="L71" i="4"/>
  <c r="F71" i="4"/>
  <c r="K71" i="4"/>
  <c r="I71" i="4"/>
  <c r="D71" i="4"/>
  <c r="O70" i="4"/>
  <c r="N70" i="4"/>
  <c r="M70" i="4"/>
  <c r="L70" i="4"/>
  <c r="F70" i="4"/>
  <c r="K70" i="4"/>
  <c r="I70" i="4"/>
  <c r="D70" i="4"/>
  <c r="O69" i="4"/>
  <c r="N69" i="4"/>
  <c r="M69" i="4"/>
  <c r="L69" i="4"/>
  <c r="F69" i="4"/>
  <c r="K69" i="4"/>
  <c r="I69" i="4"/>
  <c r="D69" i="4"/>
  <c r="O68" i="4"/>
  <c r="N68" i="4"/>
  <c r="M68" i="4"/>
  <c r="L68" i="4"/>
  <c r="F68" i="4"/>
  <c r="K68" i="4"/>
  <c r="I68" i="4"/>
  <c r="D68" i="4"/>
  <c r="O67" i="4"/>
  <c r="N67" i="4"/>
  <c r="M67" i="4"/>
  <c r="L67" i="4"/>
  <c r="F67" i="4"/>
  <c r="K67" i="4"/>
  <c r="I67" i="4"/>
  <c r="D67" i="4"/>
  <c r="O66" i="4"/>
  <c r="N66" i="4"/>
  <c r="M66" i="4"/>
  <c r="L66" i="4"/>
  <c r="F66" i="4"/>
  <c r="K66" i="4"/>
  <c r="I66" i="4"/>
  <c r="D66" i="4"/>
  <c r="O65" i="4"/>
  <c r="N65" i="4"/>
  <c r="M65" i="4"/>
  <c r="L65" i="4"/>
  <c r="F65" i="4"/>
  <c r="K65" i="4"/>
  <c r="I65" i="4"/>
  <c r="D65" i="4"/>
  <c r="O64" i="4"/>
  <c r="N64" i="4"/>
  <c r="M64" i="4"/>
  <c r="L64" i="4"/>
  <c r="F64" i="4"/>
  <c r="K64" i="4"/>
  <c r="I64" i="4"/>
  <c r="D64" i="4"/>
  <c r="O63" i="4"/>
  <c r="N63" i="4"/>
  <c r="M63" i="4"/>
  <c r="L63" i="4"/>
  <c r="F63" i="4"/>
  <c r="K63" i="4"/>
  <c r="I63" i="4"/>
  <c r="D63" i="4"/>
  <c r="O62" i="4"/>
  <c r="N62" i="4"/>
  <c r="M62" i="4"/>
  <c r="L62" i="4"/>
  <c r="F62" i="4"/>
  <c r="K62" i="4"/>
  <c r="I62" i="4"/>
  <c r="D62" i="4"/>
  <c r="O61" i="4"/>
  <c r="N61" i="4"/>
  <c r="M61" i="4"/>
  <c r="L61" i="4"/>
  <c r="F61" i="4"/>
  <c r="K61" i="4"/>
  <c r="I61" i="4"/>
  <c r="D61" i="4"/>
  <c r="O60" i="4"/>
  <c r="N60" i="4"/>
  <c r="M60" i="4"/>
  <c r="L60" i="4"/>
  <c r="F60" i="4"/>
  <c r="K60" i="4"/>
  <c r="I60" i="4"/>
  <c r="D60" i="4"/>
  <c r="O59" i="4"/>
  <c r="N59" i="4"/>
  <c r="M59" i="4"/>
  <c r="L59" i="4"/>
  <c r="F59" i="4"/>
  <c r="K59" i="4"/>
  <c r="I59" i="4"/>
  <c r="D59" i="4"/>
  <c r="O58" i="4"/>
  <c r="N58" i="4"/>
  <c r="M58" i="4"/>
  <c r="L58" i="4"/>
  <c r="F58" i="4"/>
  <c r="K58" i="4"/>
  <c r="I58" i="4"/>
  <c r="D58" i="4"/>
  <c r="O57" i="4"/>
  <c r="N57" i="4"/>
  <c r="M57" i="4"/>
  <c r="L57" i="4"/>
  <c r="F57" i="4"/>
  <c r="K57" i="4"/>
  <c r="I57" i="4"/>
  <c r="D57" i="4"/>
  <c r="O56" i="4"/>
  <c r="N56" i="4"/>
  <c r="M56" i="4"/>
  <c r="L56" i="4"/>
  <c r="F56" i="4"/>
  <c r="K56" i="4"/>
  <c r="I56" i="4"/>
  <c r="D56" i="4"/>
  <c r="O55" i="4"/>
  <c r="N55" i="4"/>
  <c r="M55" i="4"/>
  <c r="L55" i="4"/>
  <c r="F55" i="4"/>
  <c r="K55" i="4"/>
  <c r="I55" i="4"/>
  <c r="D55" i="4"/>
  <c r="O54" i="4"/>
  <c r="N54" i="4"/>
  <c r="M54" i="4"/>
  <c r="L54" i="4"/>
  <c r="F54" i="4"/>
  <c r="K54" i="4"/>
  <c r="I54" i="4"/>
  <c r="D54" i="4"/>
  <c r="O53" i="4"/>
  <c r="N53" i="4"/>
  <c r="M53" i="4"/>
  <c r="L53" i="4"/>
  <c r="F53" i="4"/>
  <c r="K53" i="4"/>
  <c r="I53" i="4"/>
  <c r="D53" i="4"/>
  <c r="O52" i="4"/>
  <c r="N52" i="4"/>
  <c r="M52" i="4"/>
  <c r="L52" i="4"/>
  <c r="F52" i="4"/>
  <c r="K52" i="4"/>
  <c r="I52" i="4"/>
  <c r="D52" i="4"/>
  <c r="O51" i="4"/>
  <c r="N51" i="4"/>
  <c r="M51" i="4"/>
  <c r="L51" i="4"/>
  <c r="F51" i="4"/>
  <c r="K51" i="4"/>
  <c r="I51" i="4"/>
  <c r="D51" i="4"/>
  <c r="O50" i="4"/>
  <c r="N50" i="4"/>
  <c r="M50" i="4"/>
  <c r="L50" i="4"/>
  <c r="F50" i="4"/>
  <c r="K50" i="4"/>
  <c r="I50" i="4"/>
  <c r="D50" i="4"/>
  <c r="O49" i="4"/>
  <c r="N49" i="4"/>
  <c r="M49" i="4"/>
  <c r="L49" i="4"/>
  <c r="F49" i="4"/>
  <c r="K49" i="4"/>
  <c r="I49" i="4"/>
  <c r="D49" i="4"/>
  <c r="O48" i="4"/>
  <c r="N48" i="4"/>
  <c r="M48" i="4"/>
  <c r="L48" i="4"/>
  <c r="F48" i="4"/>
  <c r="K48" i="4"/>
  <c r="I48" i="4"/>
  <c r="D48" i="4"/>
  <c r="O47" i="4"/>
  <c r="N47" i="4"/>
  <c r="M47" i="4"/>
  <c r="L47" i="4"/>
  <c r="F47" i="4"/>
  <c r="K47" i="4"/>
  <c r="I47" i="4"/>
  <c r="D47" i="4"/>
  <c r="O46" i="4"/>
  <c r="N46" i="4"/>
  <c r="M46" i="4"/>
  <c r="L46" i="4"/>
  <c r="F46" i="4"/>
  <c r="K46" i="4"/>
  <c r="I46" i="4"/>
  <c r="D46" i="4"/>
  <c r="O45" i="4"/>
  <c r="N45" i="4"/>
  <c r="M45" i="4"/>
  <c r="L45" i="4"/>
  <c r="F45" i="4"/>
  <c r="K45" i="4"/>
  <c r="I45" i="4"/>
  <c r="D45" i="4"/>
  <c r="O44" i="4"/>
  <c r="N44" i="4"/>
  <c r="M44" i="4"/>
  <c r="L44" i="4"/>
  <c r="F44" i="4"/>
  <c r="K44" i="4"/>
  <c r="I44" i="4"/>
  <c r="D44" i="4"/>
  <c r="O43" i="4"/>
  <c r="N43" i="4"/>
  <c r="M43" i="4"/>
  <c r="L43" i="4"/>
  <c r="F43" i="4"/>
  <c r="K43" i="4"/>
  <c r="I43" i="4"/>
  <c r="D43" i="4"/>
  <c r="O42" i="4"/>
  <c r="N42" i="4"/>
  <c r="M42" i="4"/>
  <c r="L42" i="4"/>
  <c r="F42" i="4"/>
  <c r="K42" i="4"/>
  <c r="I42" i="4"/>
  <c r="D42" i="4"/>
  <c r="O41" i="4"/>
  <c r="N41" i="4"/>
  <c r="M41" i="4"/>
  <c r="L41" i="4"/>
  <c r="F41" i="4"/>
  <c r="K41" i="4"/>
  <c r="I41" i="4"/>
  <c r="D41" i="4"/>
  <c r="O40" i="4"/>
  <c r="N40" i="4"/>
  <c r="M40" i="4"/>
  <c r="L40" i="4"/>
  <c r="F40" i="4"/>
  <c r="K40" i="4"/>
  <c r="I40" i="4"/>
  <c r="D40" i="4"/>
  <c r="O39" i="4"/>
  <c r="N39" i="4"/>
  <c r="M39" i="4"/>
  <c r="L39" i="4"/>
  <c r="F39" i="4"/>
  <c r="K39" i="4"/>
  <c r="I39" i="4"/>
  <c r="D39" i="4"/>
  <c r="O38" i="4"/>
  <c r="N38" i="4"/>
  <c r="M38" i="4"/>
  <c r="L38" i="4"/>
  <c r="F38" i="4"/>
  <c r="K38" i="4"/>
  <c r="I38" i="4"/>
  <c r="D38" i="4"/>
  <c r="O37" i="4"/>
  <c r="N37" i="4"/>
  <c r="M37" i="4"/>
  <c r="L37" i="4"/>
  <c r="F37" i="4"/>
  <c r="K37" i="4"/>
  <c r="I37" i="4"/>
  <c r="D37" i="4"/>
  <c r="O36" i="4"/>
  <c r="N36" i="4"/>
  <c r="M36" i="4"/>
  <c r="L36" i="4"/>
  <c r="F36" i="4"/>
  <c r="K36" i="4"/>
  <c r="I36" i="4"/>
  <c r="D36" i="4"/>
  <c r="O35" i="4"/>
  <c r="N35" i="4"/>
  <c r="M35" i="4"/>
  <c r="L35" i="4"/>
  <c r="F35" i="4"/>
  <c r="K35" i="4"/>
  <c r="I35" i="4"/>
  <c r="D35" i="4"/>
  <c r="O34" i="4"/>
  <c r="N34" i="4"/>
  <c r="M34" i="4"/>
  <c r="L34" i="4"/>
  <c r="F34" i="4"/>
  <c r="K34" i="4"/>
  <c r="I34" i="4"/>
  <c r="D34" i="4"/>
  <c r="O33" i="4"/>
  <c r="N33" i="4"/>
  <c r="M33" i="4"/>
  <c r="L33" i="4"/>
  <c r="F33" i="4"/>
  <c r="K33" i="4"/>
  <c r="I33" i="4"/>
  <c r="D33" i="4"/>
  <c r="O32" i="4"/>
  <c r="N32" i="4"/>
  <c r="M32" i="4"/>
  <c r="L32" i="4"/>
  <c r="F32" i="4"/>
  <c r="K32" i="4"/>
  <c r="I32" i="4"/>
  <c r="D32" i="4"/>
  <c r="O31" i="4"/>
  <c r="N31" i="4"/>
  <c r="M31" i="4"/>
  <c r="L31" i="4"/>
  <c r="F31" i="4"/>
  <c r="K31" i="4"/>
  <c r="I31" i="4"/>
  <c r="D31" i="4"/>
  <c r="O30" i="4"/>
  <c r="N30" i="4"/>
  <c r="M30" i="4"/>
  <c r="L30" i="4"/>
  <c r="F30" i="4"/>
  <c r="K30" i="4"/>
  <c r="I30" i="4"/>
  <c r="D30" i="4"/>
  <c r="O29" i="4"/>
  <c r="N29" i="4"/>
  <c r="M29" i="4"/>
  <c r="L29" i="4"/>
  <c r="F29" i="4"/>
  <c r="K29" i="4"/>
  <c r="I29" i="4"/>
  <c r="D29" i="4"/>
  <c r="O28" i="4"/>
  <c r="N28" i="4"/>
  <c r="M28" i="4"/>
  <c r="L28" i="4"/>
  <c r="F28" i="4"/>
  <c r="K28" i="4"/>
  <c r="I28" i="4"/>
  <c r="D28" i="4"/>
  <c r="O27" i="4"/>
  <c r="N27" i="4"/>
  <c r="M27" i="4"/>
  <c r="L27" i="4"/>
  <c r="F27" i="4"/>
  <c r="K27" i="4"/>
  <c r="I27" i="4"/>
  <c r="D27" i="4"/>
  <c r="O26" i="4"/>
  <c r="N26" i="4"/>
  <c r="M26" i="4"/>
  <c r="L26" i="4"/>
  <c r="F26" i="4"/>
  <c r="K26" i="4"/>
  <c r="I26" i="4"/>
  <c r="D26" i="4"/>
  <c r="O25" i="4"/>
  <c r="N25" i="4"/>
  <c r="M25" i="4"/>
  <c r="L25" i="4"/>
  <c r="F25" i="4"/>
  <c r="K25" i="4"/>
  <c r="I25" i="4"/>
  <c r="D25" i="4"/>
  <c r="O24" i="4"/>
  <c r="N24" i="4"/>
  <c r="M24" i="4"/>
  <c r="L24" i="4"/>
  <c r="F24" i="4"/>
  <c r="K24" i="4"/>
  <c r="I24" i="4"/>
  <c r="D24" i="4"/>
  <c r="O23" i="4"/>
  <c r="N23" i="4"/>
  <c r="M23" i="4"/>
  <c r="L23" i="4"/>
  <c r="F23" i="4"/>
  <c r="K23" i="4"/>
  <c r="I23" i="4"/>
  <c r="D23" i="4"/>
  <c r="O22" i="4"/>
  <c r="N22" i="4"/>
  <c r="M22" i="4"/>
  <c r="L22" i="4"/>
  <c r="F22" i="4"/>
  <c r="K22" i="4"/>
  <c r="I22" i="4"/>
  <c r="D22" i="4"/>
  <c r="O21" i="4"/>
  <c r="N21" i="4"/>
  <c r="M21" i="4"/>
  <c r="L21" i="4"/>
  <c r="F21" i="4"/>
  <c r="K21" i="4"/>
  <c r="I21" i="4"/>
  <c r="D21" i="4"/>
  <c r="O20" i="4"/>
  <c r="N20" i="4"/>
  <c r="M20" i="4"/>
  <c r="L20" i="4"/>
  <c r="F20" i="4"/>
  <c r="K20" i="4"/>
  <c r="I20" i="4"/>
  <c r="D20" i="4"/>
  <c r="O19" i="4"/>
  <c r="N19" i="4"/>
  <c r="M19" i="4"/>
  <c r="L19" i="4"/>
  <c r="F19" i="4"/>
  <c r="K19" i="4"/>
  <c r="I19" i="4"/>
  <c r="D19" i="4"/>
  <c r="O18" i="4"/>
  <c r="N18" i="4"/>
  <c r="M18" i="4"/>
  <c r="L18" i="4"/>
  <c r="F18" i="4"/>
  <c r="K18" i="4"/>
  <c r="I18" i="4"/>
  <c r="D18" i="4"/>
  <c r="O17" i="4"/>
  <c r="N17" i="4"/>
  <c r="M17" i="4"/>
  <c r="L17" i="4"/>
  <c r="F17" i="4"/>
  <c r="K17" i="4"/>
  <c r="I17" i="4"/>
  <c r="D17" i="4"/>
  <c r="O16" i="4"/>
  <c r="N16" i="4"/>
  <c r="M16" i="4"/>
  <c r="L16" i="4"/>
  <c r="F16" i="4"/>
  <c r="K16" i="4"/>
  <c r="I16" i="4"/>
  <c r="D16" i="4"/>
  <c r="O15" i="4"/>
  <c r="N15" i="4"/>
  <c r="M15" i="4"/>
  <c r="L15" i="4"/>
  <c r="F15" i="4"/>
  <c r="K15" i="4"/>
  <c r="I15" i="4"/>
  <c r="D15" i="4"/>
  <c r="O14" i="4"/>
  <c r="N14" i="4"/>
  <c r="M14" i="4"/>
  <c r="L14" i="4"/>
  <c r="F14" i="4"/>
  <c r="K14" i="4"/>
  <c r="I14" i="4"/>
  <c r="D14" i="4"/>
  <c r="O13" i="4"/>
  <c r="N13" i="4"/>
  <c r="M13" i="4"/>
  <c r="L13" i="4"/>
  <c r="F13" i="4"/>
  <c r="K13" i="4"/>
  <c r="I13" i="4"/>
  <c r="D13" i="4"/>
  <c r="O12" i="4"/>
  <c r="N12" i="4"/>
  <c r="M12" i="4"/>
  <c r="L12" i="4"/>
  <c r="F12" i="4"/>
  <c r="K12" i="4"/>
  <c r="I12" i="4"/>
  <c r="D12" i="4"/>
  <c r="O11" i="4"/>
  <c r="N11" i="4"/>
  <c r="M11" i="4"/>
  <c r="L11" i="4"/>
  <c r="F11" i="4"/>
  <c r="K11" i="4"/>
  <c r="I11" i="4"/>
  <c r="D11" i="4"/>
  <c r="O10" i="4"/>
  <c r="N10" i="4"/>
  <c r="M10" i="4"/>
  <c r="L10" i="4"/>
  <c r="F10" i="4"/>
  <c r="K10" i="4"/>
  <c r="I10" i="4"/>
  <c r="D10" i="4"/>
  <c r="O9" i="4"/>
  <c r="N9" i="4"/>
  <c r="M9" i="4"/>
  <c r="L9" i="4"/>
  <c r="F9" i="4"/>
  <c r="K9" i="4"/>
  <c r="I9" i="4"/>
  <c r="D9" i="4"/>
  <c r="O8" i="4"/>
  <c r="N8" i="4"/>
  <c r="M8" i="4"/>
  <c r="L8" i="4"/>
  <c r="F8" i="4"/>
  <c r="K8" i="4"/>
  <c r="I8" i="4"/>
  <c r="D8" i="4"/>
  <c r="O7" i="4"/>
  <c r="N7" i="4"/>
  <c r="M7" i="4"/>
  <c r="L7" i="4"/>
  <c r="F7" i="4"/>
  <c r="K7" i="4"/>
  <c r="I7" i="4"/>
  <c r="D7" i="4"/>
  <c r="O6" i="4"/>
  <c r="N6" i="4"/>
  <c r="M6" i="4"/>
  <c r="L6" i="4"/>
  <c r="F6" i="4"/>
  <c r="K6" i="4"/>
  <c r="I6" i="4"/>
  <c r="D6" i="4"/>
  <c r="O5" i="4"/>
  <c r="N5" i="4"/>
  <c r="M5" i="4"/>
  <c r="L5" i="4"/>
  <c r="F5" i="4"/>
  <c r="K5" i="4"/>
  <c r="I5" i="4"/>
  <c r="D5" i="4"/>
  <c r="O4" i="4"/>
  <c r="N4" i="4"/>
  <c r="M4" i="4"/>
  <c r="L4" i="4"/>
  <c r="F4" i="4"/>
  <c r="K4" i="4"/>
  <c r="I4" i="4"/>
  <c r="D4" i="4"/>
  <c r="O3" i="4"/>
  <c r="N3" i="4"/>
  <c r="M3" i="4"/>
  <c r="L3" i="4"/>
  <c r="F3" i="4"/>
  <c r="K3" i="4"/>
  <c r="I3" i="4"/>
  <c r="D3" i="4"/>
  <c r="O2" i="4"/>
  <c r="N2" i="4"/>
  <c r="M2" i="4"/>
  <c r="L2" i="4"/>
  <c r="F2" i="4"/>
  <c r="K2" i="4"/>
  <c r="I2" i="4"/>
  <c r="D2" i="4"/>
  <c r="E9" i="1"/>
  <c r="B3" i="1"/>
  <c r="E3" i="1"/>
  <c r="C9" i="1"/>
  <c r="A9" i="1"/>
  <c r="E6" i="1"/>
  <c r="C6" i="1"/>
  <c r="A6" i="1"/>
</calcChain>
</file>

<file path=xl/sharedStrings.xml><?xml version="1.0" encoding="utf-8"?>
<sst xmlns="http://schemas.openxmlformats.org/spreadsheetml/2006/main" count="77" uniqueCount="70">
  <si>
    <t>SELLER PERFORMANCE DASHBOARD</t>
  </si>
  <si>
    <t>Start date</t>
  </si>
  <si>
    <t>End date</t>
  </si>
  <si>
    <t>Net revenue</t>
  </si>
  <si>
    <t>Estimated profit</t>
  </si>
  <si>
    <t>Units sold</t>
  </si>
  <si>
    <t>Order lines</t>
  </si>
  <si>
    <t>Operating expenses</t>
  </si>
  <si>
    <t>Products listed</t>
  </si>
  <si>
    <t>How to use</t>
  </si>
  <si>
    <t>1. Add or edit products on the Products sheet. Platform fee is entered as a percentage (5% = 5%).</t>
  </si>
  <si>
    <t>2. On Sales, enter Date, Order ID, SKU, Quantity, Discount, Shipping Charged, Refund, and Status. Formula columns calculate automatically.</t>
  </si>
  <si>
    <t>3. Add non-product business expenses on the Expenses sheet. The dashboard subtracts these from estimated profit.</t>
  </si>
  <si>
    <t>4. Change the Dashboard start/end dates to view another period. Make sure sales dates are real spreadsheet dates.</t>
  </si>
  <si>
    <t>5. Returns/refunds and cancelled orders need careful handling; enter refund amounts and use the status field consistently. Validate against actual settlement reports.</t>
  </si>
  <si>
    <t>POCKETAI STUDIO | SELLER PROFIT TRACKER</t>
  </si>
  <si>
    <t>Track multiple products, daily orders, fees, expenses and estimated profit in one workbook.</t>
  </si>
  <si>
    <t>1</t>
  </si>
  <si>
    <t>Products sheet</t>
  </si>
  <si>
    <t>Enter each product's SKU, name, unit cost and selling price. Add packaging cost per unit.</t>
  </si>
  <si>
    <t>2</t>
  </si>
  <si>
    <t>Sales sheet</t>
  </si>
  <si>
    <t>Record one row per order line. Enter date, order ID, SKU, quantity, discounts, shipping charged and platform/payment fees.</t>
  </si>
  <si>
    <t>3</t>
  </si>
  <si>
    <t>Expenses sheet</t>
  </si>
  <si>
    <t>Record business expenses such as advertising, subscriptions, returns or other operating costs.</t>
  </si>
  <si>
    <t>4</t>
  </si>
  <si>
    <t>Dashboard sheet</t>
  </si>
  <si>
    <t>Choose a start and end date to see revenue, estimated profit, orders and top products.</t>
  </si>
  <si>
    <t>5</t>
  </si>
  <si>
    <t>Important</t>
  </si>
  <si>
    <t>This is a planning estimate, not accounting or tax advice. Enter actual fees, refunds and costs. Verify formulas against your marketplace statements.</t>
  </si>
  <si>
    <t>Workbook compatibility</t>
  </si>
  <si>
    <t>Designed for Excel and compatible spreadsheet apps. Formulas recalculate when opened in a supported spreadsheet.</t>
  </si>
  <si>
    <t>SKU</t>
  </si>
  <si>
    <t>Product Name</t>
  </si>
  <si>
    <t>Category</t>
  </si>
  <si>
    <t>Unit Cost (₹)</t>
  </si>
  <si>
    <t>Packaging Cost / Unit (₹)</t>
  </si>
  <si>
    <t>Selling Price (₹)</t>
  </si>
  <si>
    <t>Default Platform Fee %</t>
  </si>
  <si>
    <t>Notes</t>
  </si>
  <si>
    <t>SKU001</t>
  </si>
  <si>
    <t>Handmade Candle</t>
  </si>
  <si>
    <t>Home &amp; Decor</t>
  </si>
  <si>
    <t>Example only — replace with your own data</t>
  </si>
  <si>
    <t>SKU002</t>
  </si>
  <si>
    <t>Cotton Tote Bag</t>
  </si>
  <si>
    <t>Accessories</t>
  </si>
  <si>
    <t>SKU003</t>
  </si>
  <si>
    <t>Digital Template</t>
  </si>
  <si>
    <t>Digital</t>
  </si>
  <si>
    <t>Date</t>
  </si>
  <si>
    <t>Order ID</t>
  </si>
  <si>
    <t>Quantity</t>
  </si>
  <si>
    <t>Selling Price / Unit (₹)</t>
  </si>
  <si>
    <t>Discount (₹)</t>
  </si>
  <si>
    <t>Shipping Charged (₹)</t>
  </si>
  <si>
    <t>Platform/Payment Fee (₹)</t>
  </si>
  <si>
    <t>Refund (₹)</t>
  </si>
  <si>
    <t>Gross Sales (₹)</t>
  </si>
  <si>
    <t>Net Revenue (₹)</t>
  </si>
  <si>
    <t>Product Cost (₹)</t>
  </si>
  <si>
    <t>Packaging Cost (₹)</t>
  </si>
  <si>
    <t>Estimated Profit (₹)</t>
  </si>
  <si>
    <t>Order Status</t>
  </si>
  <si>
    <t>Expense Category</t>
  </si>
  <si>
    <t>Description</t>
  </si>
  <si>
    <t>Amount (₹)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</si>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</sst>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dd\-mmm\-yyyy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7085"/>
      <name val="Calibri"/>
    </font>
    <font>
      <b/>
      <sz val="12"/>
      <color rgb="FFFFFFFF"/>
      <name val="Calibri"/>
    </font>
    <font>
      <b/>
      <sz val="11"/>
      <color rgb="FF14213D"/>
      <name val="Calibri"/>
    </font>
    <font>
      <sz val="10"/>
      <color rgb="FF344054"/>
      <name val="Calibri"/>
    </font>
    <font>
      <b/>
      <sz val="11"/>
      <color rgb="FFFFFFFF"/>
      <name val="Calibri"/>
    </font>
    <font>
      <b/>
      <sz val="16"/>
      <color rgb="FF14213D"/>
      <name val="Calibri"/>
    </font>
    <font>
      <b/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4F46E5"/>
      </patternFill>
    </fill>
    <fill>
      <patternFill patternType="solid">
        <fgColor rgb="FFFAFBFF"/>
      </patternFill>
    </fill>
    <fill>
      <patternFill patternType="solid">
        <fgColor rgb="FFE8ED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/>
      <right/>
      <top/>
      <bottom style="hair">
        <color rgb="FFE4E7E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166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  <xf numFmtId="0" fontId="6" fillId="2" borderId="1" xfId="0" applyFont="1" applyFill="1" applyBorder="1" applyAlignment="1">
      <alignment vertical="center" wrapText="1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4" borderId="2" xfId="0" applyFill="1" applyBorder="1"/>
    <xf numFmtId="164" fontId="0" fillId="4" borderId="2" xfId="0" applyNumberFormat="1" applyFill="1" applyBorder="1"/>
    <xf numFmtId="165" fontId="0" fillId="4" borderId="2" xfId="0" applyNumberFormat="1" applyFill="1" applyBorder="1"/>
    <xf numFmtId="166" fontId="0" fillId="4" borderId="2" xfId="0" applyNumberFormat="1" applyFill="1" applyBorder="1"/>
    <xf numFmtId="1" fontId="0" fillId="4" borderId="2" xfId="0" applyNumberFormat="1" applyFill="1" applyBorder="1"/>
    <xf numFmtId="166" fontId="0" fillId="0" borderId="2" xfId="0" applyNumberFormat="1" applyBorder="1"/>
    <xf numFmtId="1" fontId="0" fillId="0" borderId="2" xfId="0" applyNumberFormat="1" applyBorder="1"/>
    <xf numFmtId="0" fontId="6" fillId="2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0" fillId="0" borderId="0" xfId="0"/>
    <xf numFmtId="164" fontId="7" fillId="5" borderId="0" xfId="0" applyNumberFormat="1" applyFont="1" applyFill="1" applyAlignment="1">
      <alignment vertical="center"/>
    </xf>
    <xf numFmtId="0" fontId="6" fillId="3" borderId="0" xfId="0" applyFont="1" applyFill="1"/>
    <xf numFmtId="0" fontId="8" fillId="2" borderId="0" xfId="0" applyFont="1" applyFill="1"/>
    <xf numFmtId="1" fontId="7" fillId="5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46E5"/>
    <pageSetUpPr fitToPage="1"/>
  </sheetPr>
  <dimension ref="A1:F17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"/>
  <cols>
    <col min="1" max="1" width="20.04296875" customWidth="1"/>
    <col min="2" max="2" width="18.0234375" customWidth="1"/>
    <col min="3" max="3" width="20.04296875" customWidth="1"/>
    <col min="4" max="6" width="18.0234375" customWidth="1"/>
  </cols>
  <sheetData>
    <row r="1" spans="1:6" ht="33.950000000000003" customHeight="1" x14ac:dyDescent="0.2">
      <c r="A1" s="23" t="s">
        <v>0</v>
      </c>
      <c r="B1" s="18"/>
      <c r="C1" s="18"/>
      <c r="D1" s="18"/>
      <c r="E1" s="18"/>
      <c r="F1" s="18"/>
    </row>
    <row r="3" spans="1:6" x14ac:dyDescent="0.2">
      <c r="A3" s="1" t="s">
        <v>1</v>
      </c>
      <c r="B3" s="2">
        <f ca="1">DATE(YEAR(TODAY()),MONTH(TODAY()),1)</f>
        <v>46296</v>
      </c>
      <c r="D3" s="1" t="s">
        <v>2</v>
      </c>
      <c r="E3" s="2">
        <f ca="1">TODAY()</f>
        <v>46312</v>
      </c>
    </row>
    <row r="5" spans="1:6" x14ac:dyDescent="0.2">
      <c r="A5" s="20" t="s">
        <v>3</v>
      </c>
      <c r="B5" s="18"/>
      <c r="C5" s="20" t="s">
        <v>4</v>
      </c>
      <c r="D5" s="18"/>
      <c r="E5" s="20" t="s">
        <v>5</v>
      </c>
      <c r="F5" s="18"/>
    </row>
    <row r="6" spans="1:6" ht="32.1" customHeight="1" x14ac:dyDescent="0.2">
      <c r="A6" s="19">
        <f ca="1">SUMIFS(Sales!$L$2:$L$501,Sales!$A$2:$A$501,"&gt;="&amp;$B$3,Sales!$A$2:$A$501,"&lt;="&amp;$E$3,Sales!$P$2:$P$501,"&lt;&gt;Cancelled")</f>
        <v>0</v>
      </c>
      <c r="B6" s="18"/>
      <c r="C6" s="19">
        <f ca="1">SUMIFS(Sales!$O$2:$O$501,Sales!$A$2:$A$501,"&gt;="&amp;$B$3,Sales!$A$2:$A$501,"&lt;="&amp;$E$3,Sales!$P$2:$P$501,"&lt;&gt;Cancelled")-SUMIFS(Expenses!$D$2:$D$201,Expenses!$A$2:$A$201,"&gt;="&amp;$B$3,Expenses!$A$2:$A$201,"&lt;="&amp;$E$3)</f>
        <v>0</v>
      </c>
      <c r="D6" s="18"/>
      <c r="E6" s="22">
        <f ca="1">SUMIFS(Sales!$E$2:$E$501,Sales!$A$2:$A$501,"&gt;="&amp;$B$3,Sales!$A$2:$A$501,"&lt;="&amp;$E$3,Sales!$P$2:$P$501,"&lt;&gt;Cancelled")</f>
        <v>0</v>
      </c>
      <c r="F6" s="18"/>
    </row>
    <row r="8" spans="1:6" x14ac:dyDescent="0.2">
      <c r="A8" s="20" t="s">
        <v>6</v>
      </c>
      <c r="B8" s="18"/>
      <c r="C8" s="20" t="s">
        <v>7</v>
      </c>
      <c r="D8" s="18"/>
      <c r="E8" s="20" t="s">
        <v>8</v>
      </c>
      <c r="F8" s="18"/>
    </row>
    <row r="9" spans="1:6" ht="32.1" customHeight="1" x14ac:dyDescent="0.2">
      <c r="A9" s="19">
        <f ca="1">COUNTIFS(Sales!$A$2:$A$501,"&gt;="&amp;$B$3,Sales!$A$2:$A$501,"&lt;="&amp;$E$3,Sales!$B$2:$B$501,"&lt;&gt;",Sales!$P$2:$P$501,"&lt;&gt;Cancelled")</f>
        <v>0</v>
      </c>
      <c r="B9" s="18"/>
      <c r="C9" s="19">
        <f ca="1">SUMIFS(Expenses!$D$2:$D$201,Expenses!$A$2:$A$201,"&gt;="&amp;$B$3,Expenses!$A$2:$A$201,"&lt;="&amp;$E$3)</f>
        <v>0</v>
      </c>
      <c r="D9" s="18"/>
      <c r="E9" s="22">
        <f>COUNTIF(Products!$B$2:$B$204,"?*")</f>
        <v>3</v>
      </c>
      <c r="F9" s="18"/>
    </row>
    <row r="12" spans="1:6" ht="18" x14ac:dyDescent="0.25">
      <c r="A12" s="21" t="s">
        <v>9</v>
      </c>
      <c r="B12" s="18"/>
      <c r="C12" s="18"/>
      <c r="D12" s="18"/>
      <c r="E12" s="18"/>
      <c r="F12" s="18"/>
    </row>
    <row r="13" spans="1:6" ht="30" customHeight="1" x14ac:dyDescent="0.2">
      <c r="A13" s="17" t="s">
        <v>10</v>
      </c>
      <c r="B13" s="18"/>
      <c r="C13" s="18"/>
      <c r="D13" s="18"/>
      <c r="E13" s="18"/>
      <c r="F13" s="18"/>
    </row>
    <row r="14" spans="1:6" ht="30" customHeight="1" x14ac:dyDescent="0.2">
      <c r="A14" s="17" t="s">
        <v>11</v>
      </c>
      <c r="B14" s="18"/>
      <c r="C14" s="18"/>
      <c r="D14" s="18"/>
      <c r="E14" s="18"/>
      <c r="F14" s="18"/>
    </row>
    <row r="15" spans="1:6" ht="30" customHeight="1" x14ac:dyDescent="0.2">
      <c r="A15" s="17" t="s">
        <v>12</v>
      </c>
      <c r="B15" s="18"/>
      <c r="C15" s="18"/>
      <c r="D15" s="18"/>
      <c r="E15" s="18"/>
      <c r="F15" s="18"/>
    </row>
    <row r="16" spans="1:6" ht="30" customHeight="1" x14ac:dyDescent="0.2">
      <c r="A16" s="17" t="s">
        <v>13</v>
      </c>
      <c r="B16" s="18"/>
      <c r="C16" s="18"/>
      <c r="D16" s="18"/>
      <c r="E16" s="18"/>
      <c r="F16" s="18"/>
    </row>
    <row r="17" spans="1:6" ht="30" customHeight="1" x14ac:dyDescent="0.2">
      <c r="A17" s="17" t="s">
        <v>14</v>
      </c>
      <c r="B17" s="18"/>
      <c r="C17" s="18"/>
      <c r="D17" s="18"/>
      <c r="E17" s="18"/>
      <c r="F17" s="18"/>
    </row>
  </sheetData>
  <mergeCells count="19">
    <mergeCell ref="A1:F1"/>
    <mergeCell ref="A9:B9"/>
    <mergeCell ref="A17:F17"/>
    <mergeCell ref="C9:D9"/>
    <mergeCell ref="E9:F9"/>
    <mergeCell ref="E6:F6"/>
    <mergeCell ref="A13:F13"/>
    <mergeCell ref="A8:B8"/>
    <mergeCell ref="A15:F15"/>
    <mergeCell ref="C8:D8"/>
    <mergeCell ref="A16:F16"/>
    <mergeCell ref="C6:D6"/>
    <mergeCell ref="C5:D5"/>
    <mergeCell ref="E5:F5"/>
    <mergeCell ref="A12:F12"/>
    <mergeCell ref="E8:F8"/>
    <mergeCell ref="A6:B6"/>
    <mergeCell ref="A14:F14"/>
    <mergeCell ref="A5:B5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46E5"/>
    <pageSetUpPr fitToPage="1"/>
  </sheetPr>
  <dimension ref="A1:F1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7.93359375" customWidth="1"/>
    <col min="2" max="4" width="23.9453125" customWidth="1"/>
    <col min="5" max="6" width="20.04296875" customWidth="1"/>
  </cols>
  <sheetData>
    <row r="1" spans="1:6" ht="33.950000000000003" customHeight="1" x14ac:dyDescent="0.2">
      <c r="A1" s="23" t="s">
        <v>15</v>
      </c>
      <c r="B1" s="18"/>
      <c r="C1" s="18"/>
      <c r="D1" s="18"/>
      <c r="E1" s="18"/>
      <c r="F1" s="18"/>
    </row>
    <row r="3" spans="1:6" ht="27.95" customHeight="1" x14ac:dyDescent="0.2">
      <c r="A3" s="27" t="s">
        <v>16</v>
      </c>
      <c r="B3" s="18"/>
      <c r="C3" s="18"/>
      <c r="D3" s="18"/>
      <c r="E3" s="18"/>
      <c r="F3" s="18"/>
    </row>
    <row r="5" spans="1:6" ht="42" customHeight="1" x14ac:dyDescent="0.2">
      <c r="A5" s="3" t="s">
        <v>17</v>
      </c>
      <c r="B5" s="4" t="s">
        <v>18</v>
      </c>
      <c r="C5" s="24" t="s">
        <v>19</v>
      </c>
      <c r="D5" s="25"/>
      <c r="E5" s="25"/>
      <c r="F5" s="25"/>
    </row>
    <row r="6" spans="1:6" ht="42" customHeight="1" x14ac:dyDescent="0.2">
      <c r="A6" s="3" t="s">
        <v>20</v>
      </c>
      <c r="B6" s="4" t="s">
        <v>21</v>
      </c>
      <c r="C6" s="24" t="s">
        <v>22</v>
      </c>
      <c r="D6" s="25"/>
      <c r="E6" s="25"/>
      <c r="F6" s="25"/>
    </row>
    <row r="7" spans="1:6" ht="42" customHeight="1" x14ac:dyDescent="0.2">
      <c r="A7" s="3" t="s">
        <v>23</v>
      </c>
      <c r="B7" s="4" t="s">
        <v>24</v>
      </c>
      <c r="C7" s="24" t="s">
        <v>25</v>
      </c>
      <c r="D7" s="25"/>
      <c r="E7" s="25"/>
      <c r="F7" s="25"/>
    </row>
    <row r="8" spans="1:6" ht="42" customHeight="1" x14ac:dyDescent="0.2">
      <c r="A8" s="3" t="s">
        <v>26</v>
      </c>
      <c r="B8" s="4" t="s">
        <v>27</v>
      </c>
      <c r="C8" s="24" t="s">
        <v>28</v>
      </c>
      <c r="D8" s="25"/>
      <c r="E8" s="25"/>
      <c r="F8" s="25"/>
    </row>
    <row r="9" spans="1:6" ht="42" customHeight="1" x14ac:dyDescent="0.2">
      <c r="A9" s="3" t="s">
        <v>29</v>
      </c>
      <c r="B9" s="4" t="s">
        <v>30</v>
      </c>
      <c r="C9" s="24" t="s">
        <v>31</v>
      </c>
      <c r="D9" s="25"/>
      <c r="E9" s="25"/>
      <c r="F9" s="25"/>
    </row>
    <row r="12" spans="1:6" x14ac:dyDescent="0.2">
      <c r="A12" s="1" t="s">
        <v>32</v>
      </c>
      <c r="B12" s="26" t="s">
        <v>33</v>
      </c>
      <c r="C12" s="18"/>
      <c r="D12" s="18"/>
      <c r="E12" s="18"/>
      <c r="F12" s="18"/>
    </row>
  </sheetData>
  <mergeCells count="8">
    <mergeCell ref="C9:F9"/>
    <mergeCell ref="B12:F12"/>
    <mergeCell ref="C8:F8"/>
    <mergeCell ref="A1:F1"/>
    <mergeCell ref="C6:F6"/>
    <mergeCell ref="C7:F7"/>
    <mergeCell ref="A3:F3"/>
    <mergeCell ref="C5:F5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46E5"/>
    <pageSetUpPr fitToPage="1"/>
  </sheetPr>
  <dimension ref="A1:H20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5.01953125" customWidth="1"/>
    <col min="3" max="3" width="18.0234375" customWidth="1"/>
    <col min="4" max="4" width="16.94921875" customWidth="1"/>
    <col min="5" max="5" width="25.01953125" customWidth="1"/>
    <col min="6" max="6" width="18.0234375" customWidth="1"/>
    <col min="7" max="7" width="23" customWidth="1"/>
    <col min="8" max="8" width="41.96875" customWidth="1"/>
  </cols>
  <sheetData>
    <row r="1" spans="1:8" ht="33.950000000000003" customHeight="1" x14ac:dyDescent="0.2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</row>
    <row r="2" spans="1:8" x14ac:dyDescent="0.2">
      <c r="A2" s="6" t="s">
        <v>42</v>
      </c>
      <c r="B2" s="6" t="s">
        <v>43</v>
      </c>
      <c r="C2" s="6" t="s">
        <v>44</v>
      </c>
      <c r="D2" s="7">
        <v>120</v>
      </c>
      <c r="E2" s="7">
        <v>12</v>
      </c>
      <c r="F2" s="7">
        <v>249</v>
      </c>
      <c r="G2" s="8">
        <v>0.05</v>
      </c>
      <c r="H2" s="6" t="s">
        <v>45</v>
      </c>
    </row>
    <row r="3" spans="1:8" x14ac:dyDescent="0.2">
      <c r="A3" s="6" t="s">
        <v>46</v>
      </c>
      <c r="B3" s="6" t="s">
        <v>47</v>
      </c>
      <c r="C3" s="6" t="s">
        <v>48</v>
      </c>
      <c r="D3" s="7">
        <v>150</v>
      </c>
      <c r="E3" s="7">
        <v>15</v>
      </c>
      <c r="F3" s="7">
        <v>299</v>
      </c>
      <c r="G3" s="8">
        <v>0.05</v>
      </c>
      <c r="H3" s="6" t="s">
        <v>45</v>
      </c>
    </row>
    <row r="4" spans="1:8" x14ac:dyDescent="0.2">
      <c r="A4" s="6" t="s">
        <v>49</v>
      </c>
      <c r="B4" s="6" t="s">
        <v>50</v>
      </c>
      <c r="C4" s="6" t="s">
        <v>51</v>
      </c>
      <c r="D4" s="7">
        <v>10</v>
      </c>
      <c r="E4" s="7">
        <v>0</v>
      </c>
      <c r="F4" s="7">
        <v>99</v>
      </c>
      <c r="G4" s="8">
        <v>0.03</v>
      </c>
      <c r="H4" s="6" t="s">
        <v>45</v>
      </c>
    </row>
    <row r="5" spans="1:8" x14ac:dyDescent="0.2">
      <c r="A5" s="9" t="str">
        <f>IF(B5="","","SKU"&amp;TEXT(ROW()-1,"000"))</f>
        <v/>
      </c>
      <c r="B5" s="9"/>
      <c r="C5" s="9"/>
      <c r="D5" s="10"/>
      <c r="E5" s="10"/>
      <c r="F5" s="10"/>
      <c r="G5" s="11"/>
      <c r="H5" s="9"/>
    </row>
    <row r="6" spans="1:8" x14ac:dyDescent="0.2">
      <c r="A6" s="9" t="str">
        <f>IF(B6="","","SKU"&amp;TEXT(ROW()-1,"000"))</f>
        <v/>
      </c>
      <c r="B6" s="9"/>
      <c r="C6" s="9"/>
      <c r="D6" s="10"/>
      <c r="E6" s="10"/>
      <c r="F6" s="10"/>
      <c r="G6" s="11"/>
      <c r="H6" s="9"/>
    </row>
    <row r="7" spans="1:8" x14ac:dyDescent="0.2">
      <c r="A7" s="9" t="str">
        <f>IF(B7="","","SKU"&amp;TEXT(ROW()-1,"000"))</f>
        <v/>
      </c>
      <c r="B7" s="9"/>
      <c r="C7" s="9"/>
      <c r="D7" s="10"/>
      <c r="E7" s="10"/>
      <c r="F7" s="10"/>
      <c r="G7" s="11"/>
      <c r="H7" s="9"/>
    </row>
    <row r="8" spans="1:8" x14ac:dyDescent="0.2">
      <c r="A8" s="9" t="str">
        <f>IF(B8="","","SKU"&amp;TEXT(ROW()-1,"000"))</f>
        <v/>
      </c>
      <c r="B8" s="9"/>
      <c r="C8" s="9"/>
      <c r="D8" s="10"/>
      <c r="E8" s="10"/>
      <c r="F8" s="10"/>
      <c r="G8" s="11"/>
      <c r="H8" s="9"/>
    </row>
    <row r="9" spans="1:8" x14ac:dyDescent="0.2">
      <c r="A9" s="9" t="str">
        <f>IF(B9="","","SKU"&amp;TEXT(ROW()-1,"000"))</f>
        <v/>
      </c>
      <c r="B9" s="9"/>
      <c r="C9" s="9"/>
      <c r="D9" s="10"/>
      <c r="E9" s="10"/>
      <c r="F9" s="10"/>
      <c r="G9" s="11"/>
      <c r="H9" s="9"/>
    </row>
    <row r="10" spans="1:8" x14ac:dyDescent="0.2">
      <c r="A10" s="9" t="str">
        <f>IF(B10="","","SKU"&amp;TEXT(ROW()-1,"000"))</f>
        <v/>
      </c>
      <c r="B10" s="9"/>
      <c r="C10" s="9"/>
      <c r="D10" s="10"/>
      <c r="E10" s="10"/>
      <c r="F10" s="10"/>
      <c r="G10" s="11"/>
      <c r="H10" s="9"/>
    </row>
    <row r="11" spans="1:8" x14ac:dyDescent="0.2">
      <c r="A11" s="9" t="str">
        <f>IF(B11="","","SKU"&amp;TEXT(ROW()-1,"000"))</f>
        <v/>
      </c>
      <c r="B11" s="9"/>
      <c r="C11" s="9"/>
      <c r="D11" s="10"/>
      <c r="E11" s="10"/>
      <c r="F11" s="10"/>
      <c r="G11" s="11"/>
      <c r="H11" s="9"/>
    </row>
    <row r="12" spans="1:8" x14ac:dyDescent="0.2">
      <c r="A12" s="9" t="str">
        <f>IF(B12="","","SKU"&amp;TEXT(ROW()-1,"000"))</f>
        <v/>
      </c>
      <c r="B12" s="9"/>
      <c r="C12" s="9"/>
      <c r="D12" s="10"/>
      <c r="E12" s="10"/>
      <c r="F12" s="10"/>
      <c r="G12" s="11"/>
      <c r="H12" s="9"/>
    </row>
    <row r="13" spans="1:8" x14ac:dyDescent="0.2">
      <c r="A13" s="9" t="str">
        <f>IF(B13="","","SKU"&amp;TEXT(ROW()-1,"000"))</f>
        <v/>
      </c>
      <c r="B13" s="9"/>
      <c r="C13" s="9"/>
      <c r="D13" s="10"/>
      <c r="E13" s="10"/>
      <c r="F13" s="10"/>
      <c r="G13" s="11"/>
      <c r="H13" s="9"/>
    </row>
    <row r="14" spans="1:8" x14ac:dyDescent="0.2">
      <c r="A14" s="9" t="str">
        <f>IF(B14="","","SKU"&amp;TEXT(ROW()-1,"000"))</f>
        <v/>
      </c>
      <c r="B14" s="9"/>
      <c r="C14" s="9"/>
      <c r="D14" s="10"/>
      <c r="E14" s="10"/>
      <c r="F14" s="10"/>
      <c r="G14" s="11"/>
      <c r="H14" s="9"/>
    </row>
    <row r="15" spans="1:8" x14ac:dyDescent="0.2">
      <c r="A15" s="9" t="str">
        <f>IF(B15="","","SKU"&amp;TEXT(ROW()-1,"000"))</f>
        <v/>
      </c>
      <c r="B15" s="9"/>
      <c r="C15" s="9"/>
      <c r="D15" s="10"/>
      <c r="E15" s="10"/>
      <c r="F15" s="10"/>
      <c r="G15" s="11"/>
      <c r="H15" s="9"/>
    </row>
    <row r="16" spans="1:8" x14ac:dyDescent="0.2">
      <c r="A16" s="9" t="str">
        <f>IF(B16="","","SKU"&amp;TEXT(ROW()-1,"000"))</f>
        <v/>
      </c>
      <c r="B16" s="9"/>
      <c r="C16" s="9"/>
      <c r="D16" s="10"/>
      <c r="E16" s="10"/>
      <c r="F16" s="10"/>
      <c r="G16" s="11"/>
      <c r="H16" s="9"/>
    </row>
    <row r="17" spans="1:8" x14ac:dyDescent="0.2">
      <c r="A17" s="9" t="str">
        <f>IF(B17="","","SKU"&amp;TEXT(ROW()-1,"000"))</f>
        <v/>
      </c>
      <c r="B17" s="9"/>
      <c r="C17" s="9"/>
      <c r="D17" s="10"/>
      <c r="E17" s="10"/>
      <c r="F17" s="10"/>
      <c r="G17" s="11"/>
      <c r="H17" s="9"/>
    </row>
    <row r="18" spans="1:8" x14ac:dyDescent="0.2">
      <c r="A18" s="9" t="str">
        <f>IF(B18="","","SKU"&amp;TEXT(ROW()-1,"000"))</f>
        <v/>
      </c>
      <c r="B18" s="9"/>
      <c r="C18" s="9"/>
      <c r="D18" s="10"/>
      <c r="E18" s="10"/>
      <c r="F18" s="10"/>
      <c r="G18" s="11"/>
      <c r="H18" s="9"/>
    </row>
    <row r="19" spans="1:8" x14ac:dyDescent="0.2">
      <c r="A19" s="9" t="str">
        <f>IF(B19="","","SKU"&amp;TEXT(ROW()-1,"000"))</f>
        <v/>
      </c>
      <c r="B19" s="9"/>
      <c r="C19" s="9"/>
      <c r="D19" s="10"/>
      <c r="E19" s="10"/>
      <c r="F19" s="10"/>
      <c r="G19" s="11"/>
      <c r="H19" s="9"/>
    </row>
    <row r="20" spans="1:8" x14ac:dyDescent="0.2">
      <c r="A20" s="9" t="str">
        <f>IF(B20="","","SKU"&amp;TEXT(ROW()-1,"000"))</f>
        <v/>
      </c>
      <c r="B20" s="9"/>
      <c r="C20" s="9"/>
      <c r="D20" s="10"/>
      <c r="E20" s="10"/>
      <c r="F20" s="10"/>
      <c r="G20" s="11"/>
      <c r="H20" s="9"/>
    </row>
    <row r="21" spans="1:8" x14ac:dyDescent="0.2">
      <c r="A21" s="9" t="str">
        <f>IF(B21="","","SKU"&amp;TEXT(ROW()-1,"000"))</f>
        <v/>
      </c>
      <c r="B21" s="9"/>
      <c r="C21" s="9"/>
      <c r="D21" s="10"/>
      <c r="E21" s="10"/>
      <c r="F21" s="10"/>
      <c r="G21" s="11"/>
      <c r="H21" s="9"/>
    </row>
    <row r="22" spans="1:8" x14ac:dyDescent="0.2">
      <c r="A22" s="9" t="str">
        <f>IF(B22="","","SKU"&amp;TEXT(ROW()-1,"000"))</f>
        <v/>
      </c>
      <c r="B22" s="9"/>
      <c r="C22" s="9"/>
      <c r="D22" s="10"/>
      <c r="E22" s="10"/>
      <c r="F22" s="10"/>
      <c r="G22" s="11"/>
      <c r="H22" s="9"/>
    </row>
    <row r="23" spans="1:8" x14ac:dyDescent="0.2">
      <c r="A23" s="9" t="str">
        <f>IF(B23="","","SKU"&amp;TEXT(ROW()-1,"000"))</f>
        <v/>
      </c>
      <c r="B23" s="9"/>
      <c r="C23" s="9"/>
      <c r="D23" s="10"/>
      <c r="E23" s="10"/>
      <c r="F23" s="10"/>
      <c r="G23" s="11"/>
      <c r="H23" s="9"/>
    </row>
    <row r="24" spans="1:8" x14ac:dyDescent="0.2">
      <c r="A24" s="9" t="str">
        <f>IF(B24="","","SKU"&amp;TEXT(ROW()-1,"000"))</f>
        <v/>
      </c>
      <c r="B24" s="9"/>
      <c r="C24" s="9"/>
      <c r="D24" s="10"/>
      <c r="E24" s="10"/>
      <c r="F24" s="10"/>
      <c r="G24" s="11"/>
      <c r="H24" s="9"/>
    </row>
    <row r="25" spans="1:8" x14ac:dyDescent="0.2">
      <c r="A25" s="9" t="str">
        <f>IF(B25="","","SKU"&amp;TEXT(ROW()-1,"000"))</f>
        <v/>
      </c>
      <c r="B25" s="9"/>
      <c r="C25" s="9"/>
      <c r="D25" s="10"/>
      <c r="E25" s="10"/>
      <c r="F25" s="10"/>
      <c r="G25" s="11"/>
      <c r="H25" s="9"/>
    </row>
    <row r="26" spans="1:8" x14ac:dyDescent="0.2">
      <c r="A26" s="9" t="str">
        <f>IF(B26="","","SKU"&amp;TEXT(ROW()-1,"000"))</f>
        <v/>
      </c>
      <c r="B26" s="9"/>
      <c r="C26" s="9"/>
      <c r="D26" s="10"/>
      <c r="E26" s="10"/>
      <c r="F26" s="10"/>
      <c r="G26" s="11"/>
      <c r="H26" s="9"/>
    </row>
    <row r="27" spans="1:8" x14ac:dyDescent="0.2">
      <c r="A27" s="9" t="str">
        <f>IF(B27="","","SKU"&amp;TEXT(ROW()-1,"000"))</f>
        <v/>
      </c>
      <c r="B27" s="9"/>
      <c r="C27" s="9"/>
      <c r="D27" s="10"/>
      <c r="E27" s="10"/>
      <c r="F27" s="10"/>
      <c r="G27" s="11"/>
      <c r="H27" s="9"/>
    </row>
    <row r="28" spans="1:8" x14ac:dyDescent="0.2">
      <c r="A28" s="9" t="str">
        <f>IF(B28="","","SKU"&amp;TEXT(ROW()-1,"000"))</f>
        <v/>
      </c>
      <c r="B28" s="9"/>
      <c r="C28" s="9"/>
      <c r="D28" s="10"/>
      <c r="E28" s="10"/>
      <c r="F28" s="10"/>
      <c r="G28" s="11"/>
      <c r="H28" s="9"/>
    </row>
    <row r="29" spans="1:8" x14ac:dyDescent="0.2">
      <c r="A29" s="9" t="str">
        <f>IF(B29="","","SKU"&amp;TEXT(ROW()-1,"000"))</f>
        <v/>
      </c>
      <c r="B29" s="9"/>
      <c r="C29" s="9"/>
      <c r="D29" s="10"/>
      <c r="E29" s="10"/>
      <c r="F29" s="10"/>
      <c r="G29" s="11"/>
      <c r="H29" s="9"/>
    </row>
    <row r="30" spans="1:8" x14ac:dyDescent="0.2">
      <c r="A30" s="9" t="str">
        <f>IF(B30="","","SKU"&amp;TEXT(ROW()-1,"000"))</f>
        <v/>
      </c>
      <c r="B30" s="9"/>
      <c r="C30" s="9"/>
      <c r="D30" s="10"/>
      <c r="E30" s="10"/>
      <c r="F30" s="10"/>
      <c r="G30" s="11"/>
      <c r="H30" s="9"/>
    </row>
    <row r="31" spans="1:8" x14ac:dyDescent="0.2">
      <c r="A31" s="9" t="str">
        <f>IF(B31="","","SKU"&amp;TEXT(ROW()-1,"000"))</f>
        <v/>
      </c>
      <c r="B31" s="9"/>
      <c r="C31" s="9"/>
      <c r="D31" s="10"/>
      <c r="E31" s="10"/>
      <c r="F31" s="10"/>
      <c r="G31" s="11"/>
      <c r="H31" s="9"/>
    </row>
    <row r="32" spans="1:8" x14ac:dyDescent="0.2">
      <c r="A32" s="9" t="str">
        <f>IF(B32="","","SKU"&amp;TEXT(ROW()-1,"000"))</f>
        <v/>
      </c>
      <c r="B32" s="9"/>
      <c r="C32" s="9"/>
      <c r="D32" s="10"/>
      <c r="E32" s="10"/>
      <c r="F32" s="10"/>
      <c r="G32" s="11"/>
      <c r="H32" s="9"/>
    </row>
    <row r="33" spans="1:8" x14ac:dyDescent="0.2">
      <c r="A33" s="9" t="str">
        <f>IF(B33="","","SKU"&amp;TEXT(ROW()-1,"000"))</f>
        <v/>
      </c>
      <c r="B33" s="9"/>
      <c r="C33" s="9"/>
      <c r="D33" s="10"/>
      <c r="E33" s="10"/>
      <c r="F33" s="10"/>
      <c r="G33" s="11"/>
      <c r="H33" s="9"/>
    </row>
    <row r="34" spans="1:8" x14ac:dyDescent="0.2">
      <c r="A34" s="9" t="str">
        <f>IF(B34="","","SKU"&amp;TEXT(ROW()-1,"000"))</f>
        <v/>
      </c>
      <c r="B34" s="9"/>
      <c r="C34" s="9"/>
      <c r="D34" s="10"/>
      <c r="E34" s="10"/>
      <c r="F34" s="10"/>
      <c r="G34" s="11"/>
      <c r="H34" s="9"/>
    </row>
    <row r="35" spans="1:8" x14ac:dyDescent="0.2">
      <c r="A35" s="9" t="str">
        <f>IF(B35="","","SKU"&amp;TEXT(ROW()-1,"000"))</f>
        <v/>
      </c>
      <c r="B35" s="9"/>
      <c r="C35" s="9"/>
      <c r="D35" s="10"/>
      <c r="E35" s="10"/>
      <c r="F35" s="10"/>
      <c r="G35" s="11"/>
      <c r="H35" s="9"/>
    </row>
    <row r="36" spans="1:8" x14ac:dyDescent="0.2">
      <c r="A36" s="9" t="str">
        <f>IF(B36="","","SKU"&amp;TEXT(ROW()-1,"000"))</f>
        <v/>
      </c>
      <c r="B36" s="9"/>
      <c r="C36" s="9"/>
      <c r="D36" s="10"/>
      <c r="E36" s="10"/>
      <c r="F36" s="10"/>
      <c r="G36" s="11"/>
      <c r="H36" s="9"/>
    </row>
    <row r="37" spans="1:8" x14ac:dyDescent="0.2">
      <c r="A37" s="9" t="str">
        <f>IF(B37="","","SKU"&amp;TEXT(ROW()-1,"000"))</f>
        <v/>
      </c>
      <c r="B37" s="9"/>
      <c r="C37" s="9"/>
      <c r="D37" s="10"/>
      <c r="E37" s="10"/>
      <c r="F37" s="10"/>
      <c r="G37" s="11"/>
      <c r="H37" s="9"/>
    </row>
    <row r="38" spans="1:8" x14ac:dyDescent="0.2">
      <c r="A38" s="9" t="str">
        <f>IF(B38="","","SKU"&amp;TEXT(ROW()-1,"000"))</f>
        <v/>
      </c>
      <c r="B38" s="9"/>
      <c r="C38" s="9"/>
      <c r="D38" s="10"/>
      <c r="E38" s="10"/>
      <c r="F38" s="10"/>
      <c r="G38" s="11"/>
      <c r="H38" s="9"/>
    </row>
    <row r="39" spans="1:8" x14ac:dyDescent="0.2">
      <c r="A39" s="9" t="str">
        <f>IF(B39="","","SKU"&amp;TEXT(ROW()-1,"000"))</f>
        <v/>
      </c>
      <c r="B39" s="9"/>
      <c r="C39" s="9"/>
      <c r="D39" s="10"/>
      <c r="E39" s="10"/>
      <c r="F39" s="10"/>
      <c r="G39" s="11"/>
      <c r="H39" s="9"/>
    </row>
    <row r="40" spans="1:8" x14ac:dyDescent="0.2">
      <c r="A40" s="9" t="str">
        <f>IF(B40="","","SKU"&amp;TEXT(ROW()-1,"000"))</f>
        <v/>
      </c>
      <c r="B40" s="9"/>
      <c r="C40" s="9"/>
      <c r="D40" s="10"/>
      <c r="E40" s="10"/>
      <c r="F40" s="10"/>
      <c r="G40" s="11"/>
      <c r="H40" s="9"/>
    </row>
    <row r="41" spans="1:8" x14ac:dyDescent="0.2">
      <c r="A41" s="9" t="str">
        <f>IF(B41="","","SKU"&amp;TEXT(ROW()-1,"000"))</f>
        <v/>
      </c>
      <c r="B41" s="9"/>
      <c r="C41" s="9"/>
      <c r="D41" s="10"/>
      <c r="E41" s="10"/>
      <c r="F41" s="10"/>
      <c r="G41" s="11"/>
      <c r="H41" s="9"/>
    </row>
    <row r="42" spans="1:8" x14ac:dyDescent="0.2">
      <c r="A42" s="9" t="str">
        <f>IF(B42="","","SKU"&amp;TEXT(ROW()-1,"000"))</f>
        <v/>
      </c>
      <c r="B42" s="9"/>
      <c r="C42" s="9"/>
      <c r="D42" s="10"/>
      <c r="E42" s="10"/>
      <c r="F42" s="10"/>
      <c r="G42" s="11"/>
      <c r="H42" s="9"/>
    </row>
    <row r="43" spans="1:8" x14ac:dyDescent="0.2">
      <c r="A43" s="9" t="str">
        <f>IF(B43="","","SKU"&amp;TEXT(ROW()-1,"000"))</f>
        <v/>
      </c>
      <c r="B43" s="9"/>
      <c r="C43" s="9"/>
      <c r="D43" s="10"/>
      <c r="E43" s="10"/>
      <c r="F43" s="10"/>
      <c r="G43" s="11"/>
      <c r="H43" s="9"/>
    </row>
    <row r="44" spans="1:8" x14ac:dyDescent="0.2">
      <c r="A44" s="9" t="str">
        <f>IF(B44="","","SKU"&amp;TEXT(ROW()-1,"000"))</f>
        <v/>
      </c>
      <c r="B44" s="9"/>
      <c r="C44" s="9"/>
      <c r="D44" s="10"/>
      <c r="E44" s="10"/>
      <c r="F44" s="10"/>
      <c r="G44" s="11"/>
      <c r="H44" s="9"/>
    </row>
    <row r="45" spans="1:8" x14ac:dyDescent="0.2">
      <c r="A45" s="9" t="str">
        <f>IF(B45="","","SKU"&amp;TEXT(ROW()-1,"000"))</f>
        <v/>
      </c>
      <c r="B45" s="9"/>
      <c r="C45" s="9"/>
      <c r="D45" s="10"/>
      <c r="E45" s="10"/>
      <c r="F45" s="10"/>
      <c r="G45" s="11"/>
      <c r="H45" s="9"/>
    </row>
    <row r="46" spans="1:8" x14ac:dyDescent="0.2">
      <c r="A46" s="9" t="str">
        <f>IF(B46="","","SKU"&amp;TEXT(ROW()-1,"000"))</f>
        <v/>
      </c>
      <c r="B46" s="9"/>
      <c r="C46" s="9"/>
      <c r="D46" s="10"/>
      <c r="E46" s="10"/>
      <c r="F46" s="10"/>
      <c r="G46" s="11"/>
      <c r="H46" s="9"/>
    </row>
    <row r="47" spans="1:8" x14ac:dyDescent="0.2">
      <c r="A47" s="9" t="str">
        <f>IF(B47="","","SKU"&amp;TEXT(ROW()-1,"000"))</f>
        <v/>
      </c>
      <c r="B47" s="9"/>
      <c r="C47" s="9"/>
      <c r="D47" s="10"/>
      <c r="E47" s="10"/>
      <c r="F47" s="10"/>
      <c r="G47" s="11"/>
      <c r="H47" s="9"/>
    </row>
    <row r="48" spans="1:8" x14ac:dyDescent="0.2">
      <c r="A48" s="9" t="str">
        <f>IF(B48="","","SKU"&amp;TEXT(ROW()-1,"000"))</f>
        <v/>
      </c>
      <c r="B48" s="9"/>
      <c r="C48" s="9"/>
      <c r="D48" s="10"/>
      <c r="E48" s="10"/>
      <c r="F48" s="10"/>
      <c r="G48" s="11"/>
      <c r="H48" s="9"/>
    </row>
    <row r="49" spans="1:8" x14ac:dyDescent="0.2">
      <c r="A49" s="9" t="str">
        <f>IF(B49="","","SKU"&amp;TEXT(ROW()-1,"000"))</f>
        <v/>
      </c>
      <c r="B49" s="9"/>
      <c r="C49" s="9"/>
      <c r="D49" s="10"/>
      <c r="E49" s="10"/>
      <c r="F49" s="10"/>
      <c r="G49" s="11"/>
      <c r="H49" s="9"/>
    </row>
    <row r="50" spans="1:8" x14ac:dyDescent="0.2">
      <c r="A50" s="9" t="str">
        <f>IF(B50="","","SKU"&amp;TEXT(ROW()-1,"000"))</f>
        <v/>
      </c>
      <c r="B50" s="9"/>
      <c r="C50" s="9"/>
      <c r="D50" s="10"/>
      <c r="E50" s="10"/>
      <c r="F50" s="10"/>
      <c r="G50" s="11"/>
      <c r="H50" s="9"/>
    </row>
    <row r="51" spans="1:8" x14ac:dyDescent="0.2">
      <c r="A51" s="9" t="str">
        <f>IF(B51="","","SKU"&amp;TEXT(ROW()-1,"000"))</f>
        <v/>
      </c>
      <c r="B51" s="9"/>
      <c r="C51" s="9"/>
      <c r="D51" s="10"/>
      <c r="E51" s="10"/>
      <c r="F51" s="10"/>
      <c r="G51" s="11"/>
      <c r="H51" s="9"/>
    </row>
    <row r="52" spans="1:8" x14ac:dyDescent="0.2">
      <c r="A52" s="9" t="str">
        <f>IF(B52="","","SKU"&amp;TEXT(ROW()-1,"000"))</f>
        <v/>
      </c>
      <c r="B52" s="9"/>
      <c r="C52" s="9"/>
      <c r="D52" s="10"/>
      <c r="E52" s="10"/>
      <c r="F52" s="10"/>
      <c r="G52" s="11"/>
      <c r="H52" s="9"/>
    </row>
    <row r="53" spans="1:8" x14ac:dyDescent="0.2">
      <c r="A53" s="9" t="str">
        <f>IF(B53="","","SKU"&amp;TEXT(ROW()-1,"000"))</f>
        <v/>
      </c>
      <c r="B53" s="9"/>
      <c r="C53" s="9"/>
      <c r="D53" s="10"/>
      <c r="E53" s="10"/>
      <c r="F53" s="10"/>
      <c r="G53" s="11"/>
      <c r="H53" s="9"/>
    </row>
    <row r="54" spans="1:8" x14ac:dyDescent="0.2">
      <c r="A54" s="9" t="str">
        <f>IF(B54="","","SKU"&amp;TEXT(ROW()-1,"000"))</f>
        <v/>
      </c>
      <c r="B54" s="9"/>
      <c r="C54" s="9"/>
      <c r="D54" s="10"/>
      <c r="E54" s="10"/>
      <c r="F54" s="10"/>
      <c r="G54" s="11"/>
      <c r="H54" s="9"/>
    </row>
    <row r="55" spans="1:8" x14ac:dyDescent="0.2">
      <c r="A55" s="9" t="str">
        <f>IF(B55="","","SKU"&amp;TEXT(ROW()-1,"000"))</f>
        <v/>
      </c>
      <c r="B55" s="9"/>
      <c r="C55" s="9"/>
      <c r="D55" s="10"/>
      <c r="E55" s="10"/>
      <c r="F55" s="10"/>
      <c r="G55" s="11"/>
      <c r="H55" s="9"/>
    </row>
    <row r="56" spans="1:8" x14ac:dyDescent="0.2">
      <c r="A56" s="9" t="str">
        <f>IF(B56="","","SKU"&amp;TEXT(ROW()-1,"000"))</f>
        <v/>
      </c>
      <c r="B56" s="9"/>
      <c r="C56" s="9"/>
      <c r="D56" s="10"/>
      <c r="E56" s="10"/>
      <c r="F56" s="10"/>
      <c r="G56" s="11"/>
      <c r="H56" s="9"/>
    </row>
    <row r="57" spans="1:8" x14ac:dyDescent="0.2">
      <c r="A57" s="9" t="str">
        <f>IF(B57="","","SKU"&amp;TEXT(ROW()-1,"000"))</f>
        <v/>
      </c>
      <c r="B57" s="9"/>
      <c r="C57" s="9"/>
      <c r="D57" s="10"/>
      <c r="E57" s="10"/>
      <c r="F57" s="10"/>
      <c r="G57" s="11"/>
      <c r="H57" s="9"/>
    </row>
    <row r="58" spans="1:8" x14ac:dyDescent="0.2">
      <c r="A58" s="9" t="str">
        <f>IF(B58="","","SKU"&amp;TEXT(ROW()-1,"000"))</f>
        <v/>
      </c>
      <c r="B58" s="9"/>
      <c r="C58" s="9"/>
      <c r="D58" s="10"/>
      <c r="E58" s="10"/>
      <c r="F58" s="10"/>
      <c r="G58" s="11"/>
      <c r="H58" s="9"/>
    </row>
    <row r="59" spans="1:8" x14ac:dyDescent="0.2">
      <c r="A59" s="9" t="str">
        <f>IF(B59="","","SKU"&amp;TEXT(ROW()-1,"000"))</f>
        <v/>
      </c>
      <c r="B59" s="9"/>
      <c r="C59" s="9"/>
      <c r="D59" s="10"/>
      <c r="E59" s="10"/>
      <c r="F59" s="10"/>
      <c r="G59" s="11"/>
      <c r="H59" s="9"/>
    </row>
    <row r="60" spans="1:8" x14ac:dyDescent="0.2">
      <c r="A60" s="9" t="str">
        <f>IF(B60="","","SKU"&amp;TEXT(ROW()-1,"000"))</f>
        <v/>
      </c>
      <c r="B60" s="9"/>
      <c r="C60" s="9"/>
      <c r="D60" s="10"/>
      <c r="E60" s="10"/>
      <c r="F60" s="10"/>
      <c r="G60" s="11"/>
      <c r="H60" s="9"/>
    </row>
    <row r="61" spans="1:8" x14ac:dyDescent="0.2">
      <c r="A61" s="9" t="str">
        <f>IF(B61="","","SKU"&amp;TEXT(ROW()-1,"000"))</f>
        <v/>
      </c>
      <c r="B61" s="9"/>
      <c r="C61" s="9"/>
      <c r="D61" s="10"/>
      <c r="E61" s="10"/>
      <c r="F61" s="10"/>
      <c r="G61" s="11"/>
      <c r="H61" s="9"/>
    </row>
    <row r="62" spans="1:8" x14ac:dyDescent="0.2">
      <c r="A62" s="9" t="str">
        <f>IF(B62="","","SKU"&amp;TEXT(ROW()-1,"000"))</f>
        <v/>
      </c>
      <c r="B62" s="9"/>
      <c r="C62" s="9"/>
      <c r="D62" s="10"/>
      <c r="E62" s="10"/>
      <c r="F62" s="10"/>
      <c r="G62" s="11"/>
      <c r="H62" s="9"/>
    </row>
    <row r="63" spans="1:8" x14ac:dyDescent="0.2">
      <c r="A63" s="9" t="str">
        <f>IF(B63="","","SKU"&amp;TEXT(ROW()-1,"000"))</f>
        <v/>
      </c>
      <c r="B63" s="9"/>
      <c r="C63" s="9"/>
      <c r="D63" s="10"/>
      <c r="E63" s="10"/>
      <c r="F63" s="10"/>
      <c r="G63" s="11"/>
      <c r="H63" s="9"/>
    </row>
    <row r="64" spans="1:8" x14ac:dyDescent="0.2">
      <c r="A64" s="9" t="str">
        <f>IF(B64="","","SKU"&amp;TEXT(ROW()-1,"000"))</f>
        <v/>
      </c>
      <c r="B64" s="9"/>
      <c r="C64" s="9"/>
      <c r="D64" s="10"/>
      <c r="E64" s="10"/>
      <c r="F64" s="10"/>
      <c r="G64" s="11"/>
      <c r="H64" s="9"/>
    </row>
    <row r="65" spans="1:8" x14ac:dyDescent="0.2">
      <c r="A65" s="9" t="str">
        <f>IF(B65="","","SKU"&amp;TEXT(ROW()-1,"000"))</f>
        <v/>
      </c>
      <c r="B65" s="9"/>
      <c r="C65" s="9"/>
      <c r="D65" s="10"/>
      <c r="E65" s="10"/>
      <c r="F65" s="10"/>
      <c r="G65" s="11"/>
      <c r="H65" s="9"/>
    </row>
    <row r="66" spans="1:8" x14ac:dyDescent="0.2">
      <c r="A66" s="9" t="str">
        <f>IF(B66="","","SKU"&amp;TEXT(ROW()-1,"000"))</f>
        <v/>
      </c>
      <c r="B66" s="9"/>
      <c r="C66" s="9"/>
      <c r="D66" s="10"/>
      <c r="E66" s="10"/>
      <c r="F66" s="10"/>
      <c r="G66" s="11"/>
      <c r="H66" s="9"/>
    </row>
    <row r="67" spans="1:8" x14ac:dyDescent="0.2">
      <c r="A67" s="9" t="str">
        <f>IF(B67="","","SKU"&amp;TEXT(ROW()-1,"000"))</f>
        <v/>
      </c>
      <c r="B67" s="9"/>
      <c r="C67" s="9"/>
      <c r="D67" s="10"/>
      <c r="E67" s="10"/>
      <c r="F67" s="10"/>
      <c r="G67" s="11"/>
      <c r="H67" s="9"/>
    </row>
    <row r="68" spans="1:8" x14ac:dyDescent="0.2">
      <c r="A68" s="9" t="str">
        <f>IF(B68="","","SKU"&amp;TEXT(ROW()-1,"000"))</f>
        <v/>
      </c>
      <c r="B68" s="9"/>
      <c r="C68" s="9"/>
      <c r="D68" s="10"/>
      <c r="E68" s="10"/>
      <c r="F68" s="10"/>
      <c r="G68" s="11"/>
      <c r="H68" s="9"/>
    </row>
    <row r="69" spans="1:8" x14ac:dyDescent="0.2">
      <c r="A69" s="9" t="str">
        <f>IF(B69="","","SKU"&amp;TEXT(ROW()-1,"000"))</f>
        <v/>
      </c>
      <c r="B69" s="9"/>
      <c r="C69" s="9"/>
      <c r="D69" s="10"/>
      <c r="E69" s="10"/>
      <c r="F69" s="10"/>
      <c r="G69" s="11"/>
      <c r="H69" s="9"/>
    </row>
    <row r="70" spans="1:8" x14ac:dyDescent="0.2">
      <c r="A70" s="9" t="str">
        <f>IF(B70="","","SKU"&amp;TEXT(ROW()-1,"000"))</f>
        <v/>
      </c>
      <c r="B70" s="9"/>
      <c r="C70" s="9"/>
      <c r="D70" s="10"/>
      <c r="E70" s="10"/>
      <c r="F70" s="10"/>
      <c r="G70" s="11"/>
      <c r="H70" s="9"/>
    </row>
    <row r="71" spans="1:8" x14ac:dyDescent="0.2">
      <c r="A71" s="9" t="str">
        <f>IF(B71="","","SKU"&amp;TEXT(ROW()-1,"000"))</f>
        <v/>
      </c>
      <c r="B71" s="9"/>
      <c r="C71" s="9"/>
      <c r="D71" s="10"/>
      <c r="E71" s="10"/>
      <c r="F71" s="10"/>
      <c r="G71" s="11"/>
      <c r="H71" s="9"/>
    </row>
    <row r="72" spans="1:8" x14ac:dyDescent="0.2">
      <c r="A72" s="9" t="str">
        <f>IF(B72="","","SKU"&amp;TEXT(ROW()-1,"000"))</f>
        <v/>
      </c>
      <c r="B72" s="9"/>
      <c r="C72" s="9"/>
      <c r="D72" s="10"/>
      <c r="E72" s="10"/>
      <c r="F72" s="10"/>
      <c r="G72" s="11"/>
      <c r="H72" s="9"/>
    </row>
    <row r="73" spans="1:8" x14ac:dyDescent="0.2">
      <c r="A73" s="9" t="str">
        <f>IF(B73="","","SKU"&amp;TEXT(ROW()-1,"000"))</f>
        <v/>
      </c>
      <c r="B73" s="9"/>
      <c r="C73" s="9"/>
      <c r="D73" s="10"/>
      <c r="E73" s="10"/>
      <c r="F73" s="10"/>
      <c r="G73" s="11"/>
      <c r="H73" s="9"/>
    </row>
    <row r="74" spans="1:8" x14ac:dyDescent="0.2">
      <c r="A74" s="9" t="str">
        <f>IF(B74="","","SKU"&amp;TEXT(ROW()-1,"000"))</f>
        <v/>
      </c>
      <c r="B74" s="9"/>
      <c r="C74" s="9"/>
      <c r="D74" s="10"/>
      <c r="E74" s="10"/>
      <c r="F74" s="10"/>
      <c r="G74" s="11"/>
      <c r="H74" s="9"/>
    </row>
    <row r="75" spans="1:8" x14ac:dyDescent="0.2">
      <c r="A75" s="9" t="str">
        <f>IF(B75="","","SKU"&amp;TEXT(ROW()-1,"000"))</f>
        <v/>
      </c>
      <c r="B75" s="9"/>
      <c r="C75" s="9"/>
      <c r="D75" s="10"/>
      <c r="E75" s="10"/>
      <c r="F75" s="10"/>
      <c r="G75" s="11"/>
      <c r="H75" s="9"/>
    </row>
    <row r="76" spans="1:8" x14ac:dyDescent="0.2">
      <c r="A76" s="9" t="str">
        <f>IF(B76="","","SKU"&amp;TEXT(ROW()-1,"000"))</f>
        <v/>
      </c>
      <c r="B76" s="9"/>
      <c r="C76" s="9"/>
      <c r="D76" s="10"/>
      <c r="E76" s="10"/>
      <c r="F76" s="10"/>
      <c r="G76" s="11"/>
      <c r="H76" s="9"/>
    </row>
    <row r="77" spans="1:8" x14ac:dyDescent="0.2">
      <c r="A77" s="9" t="str">
        <f>IF(B77="","","SKU"&amp;TEXT(ROW()-1,"000"))</f>
        <v/>
      </c>
      <c r="B77" s="9"/>
      <c r="C77" s="9"/>
      <c r="D77" s="10"/>
      <c r="E77" s="10"/>
      <c r="F77" s="10"/>
      <c r="G77" s="11"/>
      <c r="H77" s="9"/>
    </row>
    <row r="78" spans="1:8" x14ac:dyDescent="0.2">
      <c r="A78" s="9" t="str">
        <f>IF(B78="","","SKU"&amp;TEXT(ROW()-1,"000"))</f>
        <v/>
      </c>
      <c r="B78" s="9"/>
      <c r="C78" s="9"/>
      <c r="D78" s="10"/>
      <c r="E78" s="10"/>
      <c r="F78" s="10"/>
      <c r="G78" s="11"/>
      <c r="H78" s="9"/>
    </row>
    <row r="79" spans="1:8" x14ac:dyDescent="0.2">
      <c r="A79" s="9" t="str">
        <f>IF(B79="","","SKU"&amp;TEXT(ROW()-1,"000"))</f>
        <v/>
      </c>
      <c r="B79" s="9"/>
      <c r="C79" s="9"/>
      <c r="D79" s="10"/>
      <c r="E79" s="10"/>
      <c r="F79" s="10"/>
      <c r="G79" s="11"/>
      <c r="H79" s="9"/>
    </row>
    <row r="80" spans="1:8" x14ac:dyDescent="0.2">
      <c r="A80" s="9" t="str">
        <f>IF(B80="","","SKU"&amp;TEXT(ROW()-1,"000"))</f>
        <v/>
      </c>
      <c r="B80" s="9"/>
      <c r="C80" s="9"/>
      <c r="D80" s="10"/>
      <c r="E80" s="10"/>
      <c r="F80" s="10"/>
      <c r="G80" s="11"/>
      <c r="H80" s="9"/>
    </row>
    <row r="81" spans="1:8" x14ac:dyDescent="0.2">
      <c r="A81" s="9" t="str">
        <f>IF(B81="","","SKU"&amp;TEXT(ROW()-1,"000"))</f>
        <v/>
      </c>
      <c r="B81" s="9"/>
      <c r="C81" s="9"/>
      <c r="D81" s="10"/>
      <c r="E81" s="10"/>
      <c r="F81" s="10"/>
      <c r="G81" s="11"/>
      <c r="H81" s="9"/>
    </row>
    <row r="82" spans="1:8" x14ac:dyDescent="0.2">
      <c r="A82" s="9" t="str">
        <f>IF(B82="","","SKU"&amp;TEXT(ROW()-1,"000"))</f>
        <v/>
      </c>
      <c r="B82" s="9"/>
      <c r="C82" s="9"/>
      <c r="D82" s="10"/>
      <c r="E82" s="10"/>
      <c r="F82" s="10"/>
      <c r="G82" s="11"/>
      <c r="H82" s="9"/>
    </row>
    <row r="83" spans="1:8" x14ac:dyDescent="0.2">
      <c r="A83" s="9" t="str">
        <f>IF(B83="","","SKU"&amp;TEXT(ROW()-1,"000"))</f>
        <v/>
      </c>
      <c r="B83" s="9"/>
      <c r="C83" s="9"/>
      <c r="D83" s="10"/>
      <c r="E83" s="10"/>
      <c r="F83" s="10"/>
      <c r="G83" s="11"/>
      <c r="H83" s="9"/>
    </row>
    <row r="84" spans="1:8" x14ac:dyDescent="0.2">
      <c r="A84" s="9" t="str">
        <f>IF(B84="","","SKU"&amp;TEXT(ROW()-1,"000"))</f>
        <v/>
      </c>
      <c r="B84" s="9"/>
      <c r="C84" s="9"/>
      <c r="D84" s="10"/>
      <c r="E84" s="10"/>
      <c r="F84" s="10"/>
      <c r="G84" s="11"/>
      <c r="H84" s="9"/>
    </row>
    <row r="85" spans="1:8" x14ac:dyDescent="0.2">
      <c r="A85" s="9" t="str">
        <f>IF(B85="","","SKU"&amp;TEXT(ROW()-1,"000"))</f>
        <v/>
      </c>
      <c r="B85" s="9"/>
      <c r="C85" s="9"/>
      <c r="D85" s="10"/>
      <c r="E85" s="10"/>
      <c r="F85" s="10"/>
      <c r="G85" s="11"/>
      <c r="H85" s="9"/>
    </row>
    <row r="86" spans="1:8" x14ac:dyDescent="0.2">
      <c r="A86" s="9" t="str">
        <f>IF(B86="","","SKU"&amp;TEXT(ROW()-1,"000"))</f>
        <v/>
      </c>
      <c r="B86" s="9"/>
      <c r="C86" s="9"/>
      <c r="D86" s="10"/>
      <c r="E86" s="10"/>
      <c r="F86" s="10"/>
      <c r="G86" s="11"/>
      <c r="H86" s="9"/>
    </row>
    <row r="87" spans="1:8" x14ac:dyDescent="0.2">
      <c r="A87" s="9" t="str">
        <f>IF(B87="","","SKU"&amp;TEXT(ROW()-1,"000"))</f>
        <v/>
      </c>
      <c r="B87" s="9"/>
      <c r="C87" s="9"/>
      <c r="D87" s="10"/>
      <c r="E87" s="10"/>
      <c r="F87" s="10"/>
      <c r="G87" s="11"/>
      <c r="H87" s="9"/>
    </row>
    <row r="88" spans="1:8" x14ac:dyDescent="0.2">
      <c r="A88" s="9" t="str">
        <f>IF(B88="","","SKU"&amp;TEXT(ROW()-1,"000"))</f>
        <v/>
      </c>
      <c r="B88" s="9"/>
      <c r="C88" s="9"/>
      <c r="D88" s="10"/>
      <c r="E88" s="10"/>
      <c r="F88" s="10"/>
      <c r="G88" s="11"/>
      <c r="H88" s="9"/>
    </row>
    <row r="89" spans="1:8" x14ac:dyDescent="0.2">
      <c r="A89" s="9" t="str">
        <f>IF(B89="","","SKU"&amp;TEXT(ROW()-1,"000"))</f>
        <v/>
      </c>
      <c r="B89" s="9"/>
      <c r="C89" s="9"/>
      <c r="D89" s="10"/>
      <c r="E89" s="10"/>
      <c r="F89" s="10"/>
      <c r="G89" s="11"/>
      <c r="H89" s="9"/>
    </row>
    <row r="90" spans="1:8" x14ac:dyDescent="0.2">
      <c r="A90" s="9" t="str">
        <f>IF(B90="","","SKU"&amp;TEXT(ROW()-1,"000"))</f>
        <v/>
      </c>
      <c r="B90" s="9"/>
      <c r="C90" s="9"/>
      <c r="D90" s="10"/>
      <c r="E90" s="10"/>
      <c r="F90" s="10"/>
      <c r="G90" s="11"/>
      <c r="H90" s="9"/>
    </row>
    <row r="91" spans="1:8" x14ac:dyDescent="0.2">
      <c r="A91" s="9" t="str">
        <f>IF(B91="","","SKU"&amp;TEXT(ROW()-1,"000"))</f>
        <v/>
      </c>
      <c r="B91" s="9"/>
      <c r="C91" s="9"/>
      <c r="D91" s="10"/>
      <c r="E91" s="10"/>
      <c r="F91" s="10"/>
      <c r="G91" s="11"/>
      <c r="H91" s="9"/>
    </row>
    <row r="92" spans="1:8" x14ac:dyDescent="0.2">
      <c r="A92" s="9" t="str">
        <f>IF(B92="","","SKU"&amp;TEXT(ROW()-1,"000"))</f>
        <v/>
      </c>
      <c r="B92" s="9"/>
      <c r="C92" s="9"/>
      <c r="D92" s="10"/>
      <c r="E92" s="10"/>
      <c r="F92" s="10"/>
      <c r="G92" s="11"/>
      <c r="H92" s="9"/>
    </row>
    <row r="93" spans="1:8" x14ac:dyDescent="0.2">
      <c r="A93" s="9" t="str">
        <f>IF(B93="","","SKU"&amp;TEXT(ROW()-1,"000"))</f>
        <v/>
      </c>
      <c r="B93" s="9"/>
      <c r="C93" s="9"/>
      <c r="D93" s="10"/>
      <c r="E93" s="10"/>
      <c r="F93" s="10"/>
      <c r="G93" s="11"/>
      <c r="H93" s="9"/>
    </row>
    <row r="94" spans="1:8" x14ac:dyDescent="0.2">
      <c r="A94" s="9" t="str">
        <f>IF(B94="","","SKU"&amp;TEXT(ROW()-1,"000"))</f>
        <v/>
      </c>
      <c r="B94" s="9"/>
      <c r="C94" s="9"/>
      <c r="D94" s="10"/>
      <c r="E94" s="10"/>
      <c r="F94" s="10"/>
      <c r="G94" s="11"/>
      <c r="H94" s="9"/>
    </row>
    <row r="95" spans="1:8" x14ac:dyDescent="0.2">
      <c r="A95" s="9" t="str">
        <f>IF(B95="","","SKU"&amp;TEXT(ROW()-1,"000"))</f>
        <v/>
      </c>
      <c r="B95" s="9"/>
      <c r="C95" s="9"/>
      <c r="D95" s="10"/>
      <c r="E95" s="10"/>
      <c r="F95" s="10"/>
      <c r="G95" s="11"/>
      <c r="H95" s="9"/>
    </row>
    <row r="96" spans="1:8" x14ac:dyDescent="0.2">
      <c r="A96" s="9" t="str">
        <f>IF(B96="","","SKU"&amp;TEXT(ROW()-1,"000"))</f>
        <v/>
      </c>
      <c r="B96" s="9"/>
      <c r="C96" s="9"/>
      <c r="D96" s="10"/>
      <c r="E96" s="10"/>
      <c r="F96" s="10"/>
      <c r="G96" s="11"/>
      <c r="H96" s="9"/>
    </row>
    <row r="97" spans="1:8" x14ac:dyDescent="0.2">
      <c r="A97" s="9" t="str">
        <f>IF(B97="","","SKU"&amp;TEXT(ROW()-1,"000"))</f>
        <v/>
      </c>
      <c r="B97" s="9"/>
      <c r="C97" s="9"/>
      <c r="D97" s="10"/>
      <c r="E97" s="10"/>
      <c r="F97" s="10"/>
      <c r="G97" s="11"/>
      <c r="H97" s="9"/>
    </row>
    <row r="98" spans="1:8" x14ac:dyDescent="0.2">
      <c r="A98" s="9" t="str">
        <f>IF(B98="","","SKU"&amp;TEXT(ROW()-1,"000"))</f>
        <v/>
      </c>
      <c r="B98" s="9"/>
      <c r="C98" s="9"/>
      <c r="D98" s="10"/>
      <c r="E98" s="10"/>
      <c r="F98" s="10"/>
      <c r="G98" s="11"/>
      <c r="H98" s="9"/>
    </row>
    <row r="99" spans="1:8" x14ac:dyDescent="0.2">
      <c r="A99" s="9" t="str">
        <f>IF(B99="","","SKU"&amp;TEXT(ROW()-1,"000"))</f>
        <v/>
      </c>
      <c r="B99" s="9"/>
      <c r="C99" s="9"/>
      <c r="D99" s="10"/>
      <c r="E99" s="10"/>
      <c r="F99" s="10"/>
      <c r="G99" s="11"/>
      <c r="H99" s="9"/>
    </row>
    <row r="100" spans="1:8" x14ac:dyDescent="0.2">
      <c r="A100" s="9" t="str">
        <f>IF(B100="","","SKU"&amp;TEXT(ROW()-1,"000"))</f>
        <v/>
      </c>
      <c r="B100" s="9"/>
      <c r="C100" s="9"/>
      <c r="D100" s="10"/>
      <c r="E100" s="10"/>
      <c r="F100" s="10"/>
      <c r="G100" s="11"/>
      <c r="H100" s="9"/>
    </row>
    <row r="101" spans="1:8" x14ac:dyDescent="0.2">
      <c r="A101" s="9" t="str">
        <f>IF(B101="","","SKU"&amp;TEXT(ROW()-1,"000"))</f>
        <v/>
      </c>
      <c r="B101" s="9"/>
      <c r="C101" s="9"/>
      <c r="D101" s="10"/>
      <c r="E101" s="10"/>
      <c r="F101" s="10"/>
      <c r="G101" s="11"/>
      <c r="H101" s="9"/>
    </row>
    <row r="102" spans="1:8" x14ac:dyDescent="0.2">
      <c r="A102" s="9" t="str">
        <f>IF(B102="","","SKU"&amp;TEXT(ROW()-1,"000"))</f>
        <v/>
      </c>
      <c r="B102" s="9"/>
      <c r="C102" s="9"/>
      <c r="D102" s="10"/>
      <c r="E102" s="10"/>
      <c r="F102" s="10"/>
      <c r="G102" s="11"/>
      <c r="H102" s="9"/>
    </row>
    <row r="103" spans="1:8" x14ac:dyDescent="0.2">
      <c r="A103" s="9" t="str">
        <f>IF(B103="","","SKU"&amp;TEXT(ROW()-1,"000"))</f>
        <v/>
      </c>
      <c r="B103" s="9"/>
      <c r="C103" s="9"/>
      <c r="D103" s="10"/>
      <c r="E103" s="10"/>
      <c r="F103" s="10"/>
      <c r="G103" s="11"/>
      <c r="H103" s="9"/>
    </row>
    <row r="104" spans="1:8" x14ac:dyDescent="0.2">
      <c r="A104" s="9" t="str">
        <f>IF(B104="","","SKU"&amp;TEXT(ROW()-1,"000"))</f>
        <v/>
      </c>
      <c r="B104" s="9"/>
      <c r="C104" s="9"/>
      <c r="D104" s="10"/>
      <c r="E104" s="10"/>
      <c r="F104" s="10"/>
      <c r="G104" s="11"/>
      <c r="H104" s="9"/>
    </row>
    <row r="105" spans="1:8" x14ac:dyDescent="0.2">
      <c r="A105" s="9" t="str">
        <f>IF(B105="","","SKU"&amp;TEXT(ROW()-1,"000"))</f>
        <v/>
      </c>
      <c r="B105" s="9"/>
      <c r="C105" s="9"/>
      <c r="D105" s="10"/>
      <c r="E105" s="10"/>
      <c r="F105" s="10"/>
      <c r="G105" s="11"/>
      <c r="H105" s="9"/>
    </row>
    <row r="106" spans="1:8" x14ac:dyDescent="0.2">
      <c r="A106" s="9" t="str">
        <f>IF(B106="","","SKU"&amp;TEXT(ROW()-1,"000"))</f>
        <v/>
      </c>
      <c r="B106" s="9"/>
      <c r="C106" s="9"/>
      <c r="D106" s="10"/>
      <c r="E106" s="10"/>
      <c r="F106" s="10"/>
      <c r="G106" s="11"/>
      <c r="H106" s="9"/>
    </row>
    <row r="107" spans="1:8" x14ac:dyDescent="0.2">
      <c r="A107" s="9" t="str">
        <f>IF(B107="","","SKU"&amp;TEXT(ROW()-1,"000"))</f>
        <v/>
      </c>
      <c r="B107" s="9"/>
      <c r="C107" s="9"/>
      <c r="D107" s="10"/>
      <c r="E107" s="10"/>
      <c r="F107" s="10"/>
      <c r="G107" s="11"/>
      <c r="H107" s="9"/>
    </row>
    <row r="108" spans="1:8" x14ac:dyDescent="0.2">
      <c r="A108" s="9" t="str">
        <f>IF(B108="","","SKU"&amp;TEXT(ROW()-1,"000"))</f>
        <v/>
      </c>
      <c r="B108" s="9"/>
      <c r="C108" s="9"/>
      <c r="D108" s="10"/>
      <c r="E108" s="10"/>
      <c r="F108" s="10"/>
      <c r="G108" s="11"/>
      <c r="H108" s="9"/>
    </row>
    <row r="109" spans="1:8" x14ac:dyDescent="0.2">
      <c r="A109" s="9" t="str">
        <f>IF(B109="","","SKU"&amp;TEXT(ROW()-1,"000"))</f>
        <v/>
      </c>
      <c r="B109" s="9"/>
      <c r="C109" s="9"/>
      <c r="D109" s="10"/>
      <c r="E109" s="10"/>
      <c r="F109" s="10"/>
      <c r="G109" s="11"/>
      <c r="H109" s="9"/>
    </row>
    <row r="110" spans="1:8" x14ac:dyDescent="0.2">
      <c r="A110" s="9" t="str">
        <f>IF(B110="","","SKU"&amp;TEXT(ROW()-1,"000"))</f>
        <v/>
      </c>
      <c r="B110" s="9"/>
      <c r="C110" s="9"/>
      <c r="D110" s="10"/>
      <c r="E110" s="10"/>
      <c r="F110" s="10"/>
      <c r="G110" s="11"/>
      <c r="H110" s="9"/>
    </row>
    <row r="111" spans="1:8" x14ac:dyDescent="0.2">
      <c r="A111" s="9" t="str">
        <f>IF(B111="","","SKU"&amp;TEXT(ROW()-1,"000"))</f>
        <v/>
      </c>
      <c r="B111" s="9"/>
      <c r="C111" s="9"/>
      <c r="D111" s="10"/>
      <c r="E111" s="10"/>
      <c r="F111" s="10"/>
      <c r="G111" s="11"/>
      <c r="H111" s="9"/>
    </row>
    <row r="112" spans="1:8" x14ac:dyDescent="0.2">
      <c r="A112" s="9" t="str">
        <f>IF(B112="","","SKU"&amp;TEXT(ROW()-1,"000"))</f>
        <v/>
      </c>
      <c r="B112" s="9"/>
      <c r="C112" s="9"/>
      <c r="D112" s="10"/>
      <c r="E112" s="10"/>
      <c r="F112" s="10"/>
      <c r="G112" s="11"/>
      <c r="H112" s="9"/>
    </row>
    <row r="113" spans="1:8" x14ac:dyDescent="0.2">
      <c r="A113" s="9" t="str">
        <f>IF(B113="","","SKU"&amp;TEXT(ROW()-1,"000"))</f>
        <v/>
      </c>
      <c r="B113" s="9"/>
      <c r="C113" s="9"/>
      <c r="D113" s="10"/>
      <c r="E113" s="10"/>
      <c r="F113" s="10"/>
      <c r="G113" s="11"/>
      <c r="H113" s="9"/>
    </row>
    <row r="114" spans="1:8" x14ac:dyDescent="0.2">
      <c r="A114" s="9" t="str">
        <f>IF(B114="","","SKU"&amp;TEXT(ROW()-1,"000"))</f>
        <v/>
      </c>
      <c r="B114" s="9"/>
      <c r="C114" s="9"/>
      <c r="D114" s="10"/>
      <c r="E114" s="10"/>
      <c r="F114" s="10"/>
      <c r="G114" s="11"/>
      <c r="H114" s="9"/>
    </row>
    <row r="115" spans="1:8" x14ac:dyDescent="0.2">
      <c r="A115" s="9" t="str">
        <f>IF(B115="","","SKU"&amp;TEXT(ROW()-1,"000"))</f>
        <v/>
      </c>
      <c r="B115" s="9"/>
      <c r="C115" s="9"/>
      <c r="D115" s="10"/>
      <c r="E115" s="10"/>
      <c r="F115" s="10"/>
      <c r="G115" s="11"/>
      <c r="H115" s="9"/>
    </row>
    <row r="116" spans="1:8" x14ac:dyDescent="0.2">
      <c r="A116" s="9" t="str">
        <f>IF(B116="","","SKU"&amp;TEXT(ROW()-1,"000"))</f>
        <v/>
      </c>
      <c r="B116" s="9"/>
      <c r="C116" s="9"/>
      <c r="D116" s="10"/>
      <c r="E116" s="10"/>
      <c r="F116" s="10"/>
      <c r="G116" s="11"/>
      <c r="H116" s="9"/>
    </row>
    <row r="117" spans="1:8" x14ac:dyDescent="0.2">
      <c r="A117" s="9" t="str">
        <f>IF(B117="","","SKU"&amp;TEXT(ROW()-1,"000"))</f>
        <v/>
      </c>
      <c r="B117" s="9"/>
      <c r="C117" s="9"/>
      <c r="D117" s="10"/>
      <c r="E117" s="10"/>
      <c r="F117" s="10"/>
      <c r="G117" s="11"/>
      <c r="H117" s="9"/>
    </row>
    <row r="118" spans="1:8" x14ac:dyDescent="0.2">
      <c r="A118" s="9" t="str">
        <f>IF(B118="","","SKU"&amp;TEXT(ROW()-1,"000"))</f>
        <v/>
      </c>
      <c r="B118" s="9"/>
      <c r="C118" s="9"/>
      <c r="D118" s="10"/>
      <c r="E118" s="10"/>
      <c r="F118" s="10"/>
      <c r="G118" s="11"/>
      <c r="H118" s="9"/>
    </row>
    <row r="119" spans="1:8" x14ac:dyDescent="0.2">
      <c r="A119" s="9" t="str">
        <f>IF(B119="","","SKU"&amp;TEXT(ROW()-1,"000"))</f>
        <v/>
      </c>
      <c r="B119" s="9"/>
      <c r="C119" s="9"/>
      <c r="D119" s="10"/>
      <c r="E119" s="10"/>
      <c r="F119" s="10"/>
      <c r="G119" s="11"/>
      <c r="H119" s="9"/>
    </row>
    <row r="120" spans="1:8" x14ac:dyDescent="0.2">
      <c r="A120" s="9" t="str">
        <f>IF(B120="","","SKU"&amp;TEXT(ROW()-1,"000"))</f>
        <v/>
      </c>
      <c r="B120" s="9"/>
      <c r="C120" s="9"/>
      <c r="D120" s="10"/>
      <c r="E120" s="10"/>
      <c r="F120" s="10"/>
      <c r="G120" s="11"/>
      <c r="H120" s="9"/>
    </row>
    <row r="121" spans="1:8" x14ac:dyDescent="0.2">
      <c r="A121" s="9" t="str">
        <f>IF(B121="","","SKU"&amp;TEXT(ROW()-1,"000"))</f>
        <v/>
      </c>
      <c r="B121" s="9"/>
      <c r="C121" s="9"/>
      <c r="D121" s="10"/>
      <c r="E121" s="10"/>
      <c r="F121" s="10"/>
      <c r="G121" s="11"/>
      <c r="H121" s="9"/>
    </row>
    <row r="122" spans="1:8" x14ac:dyDescent="0.2">
      <c r="A122" s="9" t="str">
        <f>IF(B122="","","SKU"&amp;TEXT(ROW()-1,"000"))</f>
        <v/>
      </c>
      <c r="B122" s="9"/>
      <c r="C122" s="9"/>
      <c r="D122" s="10"/>
      <c r="E122" s="10"/>
      <c r="F122" s="10"/>
      <c r="G122" s="11"/>
      <c r="H122" s="9"/>
    </row>
    <row r="123" spans="1:8" x14ac:dyDescent="0.2">
      <c r="A123" s="9" t="str">
        <f>IF(B123="","","SKU"&amp;TEXT(ROW()-1,"000"))</f>
        <v/>
      </c>
      <c r="B123" s="9"/>
      <c r="C123" s="9"/>
      <c r="D123" s="10"/>
      <c r="E123" s="10"/>
      <c r="F123" s="10"/>
      <c r="G123" s="11"/>
      <c r="H123" s="9"/>
    </row>
    <row r="124" spans="1:8" x14ac:dyDescent="0.2">
      <c r="A124" s="9" t="str">
        <f>IF(B124="","","SKU"&amp;TEXT(ROW()-1,"000"))</f>
        <v/>
      </c>
      <c r="B124" s="9"/>
      <c r="C124" s="9"/>
      <c r="D124" s="10"/>
      <c r="E124" s="10"/>
      <c r="F124" s="10"/>
      <c r="G124" s="11"/>
      <c r="H124" s="9"/>
    </row>
    <row r="125" spans="1:8" x14ac:dyDescent="0.2">
      <c r="A125" s="9" t="str">
        <f>IF(B125="","","SKU"&amp;TEXT(ROW()-1,"000"))</f>
        <v/>
      </c>
      <c r="B125" s="9"/>
      <c r="C125" s="9"/>
      <c r="D125" s="10"/>
      <c r="E125" s="10"/>
      <c r="F125" s="10"/>
      <c r="G125" s="11"/>
      <c r="H125" s="9"/>
    </row>
    <row r="126" spans="1:8" x14ac:dyDescent="0.2">
      <c r="A126" s="9" t="str">
        <f>IF(B126="","","SKU"&amp;TEXT(ROW()-1,"000"))</f>
        <v/>
      </c>
      <c r="B126" s="9"/>
      <c r="C126" s="9"/>
      <c r="D126" s="10"/>
      <c r="E126" s="10"/>
      <c r="F126" s="10"/>
      <c r="G126" s="11"/>
      <c r="H126" s="9"/>
    </row>
    <row r="127" spans="1:8" x14ac:dyDescent="0.2">
      <c r="A127" s="9" t="str">
        <f>IF(B127="","","SKU"&amp;TEXT(ROW()-1,"000"))</f>
        <v/>
      </c>
      <c r="B127" s="9"/>
      <c r="C127" s="9"/>
      <c r="D127" s="10"/>
      <c r="E127" s="10"/>
      <c r="F127" s="10"/>
      <c r="G127" s="11"/>
      <c r="H127" s="9"/>
    </row>
    <row r="128" spans="1:8" x14ac:dyDescent="0.2">
      <c r="A128" s="9" t="str">
        <f>IF(B128="","","SKU"&amp;TEXT(ROW()-1,"000"))</f>
        <v/>
      </c>
      <c r="B128" s="9"/>
      <c r="C128" s="9"/>
      <c r="D128" s="10"/>
      <c r="E128" s="10"/>
      <c r="F128" s="10"/>
      <c r="G128" s="11"/>
      <c r="H128" s="9"/>
    </row>
    <row r="129" spans="1:8" x14ac:dyDescent="0.2">
      <c r="A129" s="9" t="str">
        <f>IF(B129="","","SKU"&amp;TEXT(ROW()-1,"000"))</f>
        <v/>
      </c>
      <c r="B129" s="9"/>
      <c r="C129" s="9"/>
      <c r="D129" s="10"/>
      <c r="E129" s="10"/>
      <c r="F129" s="10"/>
      <c r="G129" s="11"/>
      <c r="H129" s="9"/>
    </row>
    <row r="130" spans="1:8" x14ac:dyDescent="0.2">
      <c r="A130" s="9" t="str">
        <f>IF(B130="","","SKU"&amp;TEXT(ROW()-1,"000"))</f>
        <v/>
      </c>
      <c r="B130" s="9"/>
      <c r="C130" s="9"/>
      <c r="D130" s="10"/>
      <c r="E130" s="10"/>
      <c r="F130" s="10"/>
      <c r="G130" s="11"/>
      <c r="H130" s="9"/>
    </row>
    <row r="131" spans="1:8" x14ac:dyDescent="0.2">
      <c r="A131" s="9" t="str">
        <f>IF(B131="","","SKU"&amp;TEXT(ROW()-1,"000"))</f>
        <v/>
      </c>
      <c r="B131" s="9"/>
      <c r="C131" s="9"/>
      <c r="D131" s="10"/>
      <c r="E131" s="10"/>
      <c r="F131" s="10"/>
      <c r="G131" s="11"/>
      <c r="H131" s="9"/>
    </row>
    <row r="132" spans="1:8" x14ac:dyDescent="0.2">
      <c r="A132" s="9" t="str">
        <f>IF(B132="","","SKU"&amp;TEXT(ROW()-1,"000"))</f>
        <v/>
      </c>
      <c r="B132" s="9"/>
      <c r="C132" s="9"/>
      <c r="D132" s="10"/>
      <c r="E132" s="10"/>
      <c r="F132" s="10"/>
      <c r="G132" s="11"/>
      <c r="H132" s="9"/>
    </row>
    <row r="133" spans="1:8" x14ac:dyDescent="0.2">
      <c r="A133" s="9" t="str">
        <f>IF(B133="","","SKU"&amp;TEXT(ROW()-1,"000"))</f>
        <v/>
      </c>
      <c r="B133" s="9"/>
      <c r="C133" s="9"/>
      <c r="D133" s="10"/>
      <c r="E133" s="10"/>
      <c r="F133" s="10"/>
      <c r="G133" s="11"/>
      <c r="H133" s="9"/>
    </row>
    <row r="134" spans="1:8" x14ac:dyDescent="0.2">
      <c r="A134" s="9" t="str">
        <f>IF(B134="","","SKU"&amp;TEXT(ROW()-1,"000"))</f>
        <v/>
      </c>
      <c r="B134" s="9"/>
      <c r="C134" s="9"/>
      <c r="D134" s="10"/>
      <c r="E134" s="10"/>
      <c r="F134" s="10"/>
      <c r="G134" s="11"/>
      <c r="H134" s="9"/>
    </row>
    <row r="135" spans="1:8" x14ac:dyDescent="0.2">
      <c r="A135" s="9" t="str">
        <f>IF(B135="","","SKU"&amp;TEXT(ROW()-1,"000"))</f>
        <v/>
      </c>
      <c r="B135" s="9"/>
      <c r="C135" s="9"/>
      <c r="D135" s="10"/>
      <c r="E135" s="10"/>
      <c r="F135" s="10"/>
      <c r="G135" s="11"/>
      <c r="H135" s="9"/>
    </row>
    <row r="136" spans="1:8" x14ac:dyDescent="0.2">
      <c r="A136" s="9" t="str">
        <f>IF(B136="","","SKU"&amp;TEXT(ROW()-1,"000"))</f>
        <v/>
      </c>
      <c r="B136" s="9"/>
      <c r="C136" s="9"/>
      <c r="D136" s="10"/>
      <c r="E136" s="10"/>
      <c r="F136" s="10"/>
      <c r="G136" s="11"/>
      <c r="H136" s="9"/>
    </row>
    <row r="137" spans="1:8" x14ac:dyDescent="0.2">
      <c r="A137" s="9" t="str">
        <f>IF(B137="","","SKU"&amp;TEXT(ROW()-1,"000"))</f>
        <v/>
      </c>
      <c r="B137" s="9"/>
      <c r="C137" s="9"/>
      <c r="D137" s="10"/>
      <c r="E137" s="10"/>
      <c r="F137" s="10"/>
      <c r="G137" s="11"/>
      <c r="H137" s="9"/>
    </row>
    <row r="138" spans="1:8" x14ac:dyDescent="0.2">
      <c r="A138" s="9" t="str">
        <f>IF(B138="","","SKU"&amp;TEXT(ROW()-1,"000"))</f>
        <v/>
      </c>
      <c r="B138" s="9"/>
      <c r="C138" s="9"/>
      <c r="D138" s="10"/>
      <c r="E138" s="10"/>
      <c r="F138" s="10"/>
      <c r="G138" s="11"/>
      <c r="H138" s="9"/>
    </row>
    <row r="139" spans="1:8" x14ac:dyDescent="0.2">
      <c r="A139" s="9" t="str">
        <f>IF(B139="","","SKU"&amp;TEXT(ROW()-1,"000"))</f>
        <v/>
      </c>
      <c r="B139" s="9"/>
      <c r="C139" s="9"/>
      <c r="D139" s="10"/>
      <c r="E139" s="10"/>
      <c r="F139" s="10"/>
      <c r="G139" s="11"/>
      <c r="H139" s="9"/>
    </row>
    <row r="140" spans="1:8" x14ac:dyDescent="0.2">
      <c r="A140" s="9" t="str">
        <f>IF(B140="","","SKU"&amp;TEXT(ROW()-1,"000"))</f>
        <v/>
      </c>
      <c r="B140" s="9"/>
      <c r="C140" s="9"/>
      <c r="D140" s="10"/>
      <c r="E140" s="10"/>
      <c r="F140" s="10"/>
      <c r="G140" s="11"/>
      <c r="H140" s="9"/>
    </row>
    <row r="141" spans="1:8" x14ac:dyDescent="0.2">
      <c r="A141" s="9" t="str">
        <f>IF(B141="","","SKU"&amp;TEXT(ROW()-1,"000"))</f>
        <v/>
      </c>
      <c r="B141" s="9"/>
      <c r="C141" s="9"/>
      <c r="D141" s="10"/>
      <c r="E141" s="10"/>
      <c r="F141" s="10"/>
      <c r="G141" s="11"/>
      <c r="H141" s="9"/>
    </row>
    <row r="142" spans="1:8" x14ac:dyDescent="0.2">
      <c r="A142" s="9" t="str">
        <f>IF(B142="","","SKU"&amp;TEXT(ROW()-1,"000"))</f>
        <v/>
      </c>
      <c r="B142" s="9"/>
      <c r="C142" s="9"/>
      <c r="D142" s="10"/>
      <c r="E142" s="10"/>
      <c r="F142" s="10"/>
      <c r="G142" s="11"/>
      <c r="H142" s="9"/>
    </row>
    <row r="143" spans="1:8" x14ac:dyDescent="0.2">
      <c r="A143" s="9" t="str">
        <f>IF(B143="","","SKU"&amp;TEXT(ROW()-1,"000"))</f>
        <v/>
      </c>
      <c r="B143" s="9"/>
      <c r="C143" s="9"/>
      <c r="D143" s="10"/>
      <c r="E143" s="10"/>
      <c r="F143" s="10"/>
      <c r="G143" s="11"/>
      <c r="H143" s="9"/>
    </row>
    <row r="144" spans="1:8" x14ac:dyDescent="0.2">
      <c r="A144" s="9" t="str">
        <f>IF(B144="","","SKU"&amp;TEXT(ROW()-1,"000"))</f>
        <v/>
      </c>
      <c r="B144" s="9"/>
      <c r="C144" s="9"/>
      <c r="D144" s="10"/>
      <c r="E144" s="10"/>
      <c r="F144" s="10"/>
      <c r="G144" s="11"/>
      <c r="H144" s="9"/>
    </row>
    <row r="145" spans="1:8" x14ac:dyDescent="0.2">
      <c r="A145" s="9" t="str">
        <f>IF(B145="","","SKU"&amp;TEXT(ROW()-1,"000"))</f>
        <v/>
      </c>
      <c r="B145" s="9"/>
      <c r="C145" s="9"/>
      <c r="D145" s="10"/>
      <c r="E145" s="10"/>
      <c r="F145" s="10"/>
      <c r="G145" s="11"/>
      <c r="H145" s="9"/>
    </row>
    <row r="146" spans="1:8" x14ac:dyDescent="0.2">
      <c r="A146" s="9" t="str">
        <f>IF(B146="","","SKU"&amp;TEXT(ROW()-1,"000"))</f>
        <v/>
      </c>
      <c r="B146" s="9"/>
      <c r="C146" s="9"/>
      <c r="D146" s="10"/>
      <c r="E146" s="10"/>
      <c r="F146" s="10"/>
      <c r="G146" s="11"/>
      <c r="H146" s="9"/>
    </row>
    <row r="147" spans="1:8" x14ac:dyDescent="0.2">
      <c r="A147" s="9" t="str">
        <f>IF(B147="","","SKU"&amp;TEXT(ROW()-1,"000"))</f>
        <v/>
      </c>
      <c r="B147" s="9"/>
      <c r="C147" s="9"/>
      <c r="D147" s="10"/>
      <c r="E147" s="10"/>
      <c r="F147" s="10"/>
      <c r="G147" s="11"/>
      <c r="H147" s="9"/>
    </row>
    <row r="148" spans="1:8" x14ac:dyDescent="0.2">
      <c r="A148" s="9" t="str">
        <f>IF(B148="","","SKU"&amp;TEXT(ROW()-1,"000"))</f>
        <v/>
      </c>
      <c r="B148" s="9"/>
      <c r="C148" s="9"/>
      <c r="D148" s="10"/>
      <c r="E148" s="10"/>
      <c r="F148" s="10"/>
      <c r="G148" s="11"/>
      <c r="H148" s="9"/>
    </row>
    <row r="149" spans="1:8" x14ac:dyDescent="0.2">
      <c r="A149" s="9" t="str">
        <f>IF(B149="","","SKU"&amp;TEXT(ROW()-1,"000"))</f>
        <v/>
      </c>
      <c r="B149" s="9"/>
      <c r="C149" s="9"/>
      <c r="D149" s="10"/>
      <c r="E149" s="10"/>
      <c r="F149" s="10"/>
      <c r="G149" s="11"/>
      <c r="H149" s="9"/>
    </row>
    <row r="150" spans="1:8" x14ac:dyDescent="0.2">
      <c r="A150" s="9" t="str">
        <f>IF(B150="","","SKU"&amp;TEXT(ROW()-1,"000"))</f>
        <v/>
      </c>
      <c r="B150" s="9"/>
      <c r="C150" s="9"/>
      <c r="D150" s="10"/>
      <c r="E150" s="10"/>
      <c r="F150" s="10"/>
      <c r="G150" s="11"/>
      <c r="H150" s="9"/>
    </row>
    <row r="151" spans="1:8" x14ac:dyDescent="0.2">
      <c r="A151" s="9" t="str">
        <f>IF(B151="","","SKU"&amp;TEXT(ROW()-1,"000"))</f>
        <v/>
      </c>
      <c r="B151" s="9"/>
      <c r="C151" s="9"/>
      <c r="D151" s="10"/>
      <c r="E151" s="10"/>
      <c r="F151" s="10"/>
      <c r="G151" s="11"/>
      <c r="H151" s="9"/>
    </row>
    <row r="152" spans="1:8" x14ac:dyDescent="0.2">
      <c r="A152" s="9" t="str">
        <f>IF(B152="","","SKU"&amp;TEXT(ROW()-1,"000"))</f>
        <v/>
      </c>
      <c r="B152" s="9"/>
      <c r="C152" s="9"/>
      <c r="D152" s="10"/>
      <c r="E152" s="10"/>
      <c r="F152" s="10"/>
      <c r="G152" s="11"/>
      <c r="H152" s="9"/>
    </row>
    <row r="153" spans="1:8" x14ac:dyDescent="0.2">
      <c r="A153" s="9" t="str">
        <f>IF(B153="","","SKU"&amp;TEXT(ROW()-1,"000"))</f>
        <v/>
      </c>
      <c r="B153" s="9"/>
      <c r="C153" s="9"/>
      <c r="D153" s="10"/>
      <c r="E153" s="10"/>
      <c r="F153" s="10"/>
      <c r="G153" s="11"/>
      <c r="H153" s="9"/>
    </row>
    <row r="154" spans="1:8" x14ac:dyDescent="0.2">
      <c r="A154" s="9" t="str">
        <f>IF(B154="","","SKU"&amp;TEXT(ROW()-1,"000"))</f>
        <v/>
      </c>
      <c r="B154" s="9"/>
      <c r="C154" s="9"/>
      <c r="D154" s="10"/>
      <c r="E154" s="10"/>
      <c r="F154" s="10"/>
      <c r="G154" s="11"/>
      <c r="H154" s="9"/>
    </row>
    <row r="155" spans="1:8" x14ac:dyDescent="0.2">
      <c r="A155" s="9" t="str">
        <f>IF(B155="","","SKU"&amp;TEXT(ROW()-1,"000"))</f>
        <v/>
      </c>
      <c r="B155" s="9"/>
      <c r="C155" s="9"/>
      <c r="D155" s="10"/>
      <c r="E155" s="10"/>
      <c r="F155" s="10"/>
      <c r="G155" s="11"/>
      <c r="H155" s="9"/>
    </row>
    <row r="156" spans="1:8" x14ac:dyDescent="0.2">
      <c r="A156" s="9" t="str">
        <f>IF(B156="","","SKU"&amp;TEXT(ROW()-1,"000"))</f>
        <v/>
      </c>
      <c r="B156" s="9"/>
      <c r="C156" s="9"/>
      <c r="D156" s="10"/>
      <c r="E156" s="10"/>
      <c r="F156" s="10"/>
      <c r="G156" s="11"/>
      <c r="H156" s="9"/>
    </row>
    <row r="157" spans="1:8" x14ac:dyDescent="0.2">
      <c r="A157" s="9" t="str">
        <f>IF(B157="","","SKU"&amp;TEXT(ROW()-1,"000"))</f>
        <v/>
      </c>
      <c r="B157" s="9"/>
      <c r="C157" s="9"/>
      <c r="D157" s="10"/>
      <c r="E157" s="10"/>
      <c r="F157" s="10"/>
      <c r="G157" s="11"/>
      <c r="H157" s="9"/>
    </row>
    <row r="158" spans="1:8" x14ac:dyDescent="0.2">
      <c r="A158" s="9" t="str">
        <f>IF(B158="","","SKU"&amp;TEXT(ROW()-1,"000"))</f>
        <v/>
      </c>
      <c r="B158" s="9"/>
      <c r="C158" s="9"/>
      <c r="D158" s="10"/>
      <c r="E158" s="10"/>
      <c r="F158" s="10"/>
      <c r="G158" s="11"/>
      <c r="H158" s="9"/>
    </row>
    <row r="159" spans="1:8" x14ac:dyDescent="0.2">
      <c r="A159" s="9" t="str">
        <f>IF(B159="","","SKU"&amp;TEXT(ROW()-1,"000"))</f>
        <v/>
      </c>
      <c r="B159" s="9"/>
      <c r="C159" s="9"/>
      <c r="D159" s="10"/>
      <c r="E159" s="10"/>
      <c r="F159" s="10"/>
      <c r="G159" s="11"/>
      <c r="H159" s="9"/>
    </row>
    <row r="160" spans="1:8" x14ac:dyDescent="0.2">
      <c r="A160" s="9" t="str">
        <f>IF(B160="","","SKU"&amp;TEXT(ROW()-1,"000"))</f>
        <v/>
      </c>
      <c r="B160" s="9"/>
      <c r="C160" s="9"/>
      <c r="D160" s="10"/>
      <c r="E160" s="10"/>
      <c r="F160" s="10"/>
      <c r="G160" s="11"/>
      <c r="H160" s="9"/>
    </row>
    <row r="161" spans="1:8" x14ac:dyDescent="0.2">
      <c r="A161" s="9" t="str">
        <f>IF(B161="","","SKU"&amp;TEXT(ROW()-1,"000"))</f>
        <v/>
      </c>
      <c r="B161" s="9"/>
      <c r="C161" s="9"/>
      <c r="D161" s="10"/>
      <c r="E161" s="10"/>
      <c r="F161" s="10"/>
      <c r="G161" s="11"/>
      <c r="H161" s="9"/>
    </row>
    <row r="162" spans="1:8" x14ac:dyDescent="0.2">
      <c r="A162" s="9" t="str">
        <f>IF(B162="","","SKU"&amp;TEXT(ROW()-1,"000"))</f>
        <v/>
      </c>
      <c r="B162" s="9"/>
      <c r="C162" s="9"/>
      <c r="D162" s="10"/>
      <c r="E162" s="10"/>
      <c r="F162" s="10"/>
      <c r="G162" s="11"/>
      <c r="H162" s="9"/>
    </row>
    <row r="163" spans="1:8" x14ac:dyDescent="0.2">
      <c r="A163" s="9" t="str">
        <f>IF(B163="","","SKU"&amp;TEXT(ROW()-1,"000"))</f>
        <v/>
      </c>
      <c r="B163" s="9"/>
      <c r="C163" s="9"/>
      <c r="D163" s="10"/>
      <c r="E163" s="10"/>
      <c r="F163" s="10"/>
      <c r="G163" s="11"/>
      <c r="H163" s="9"/>
    </row>
    <row r="164" spans="1:8" x14ac:dyDescent="0.2">
      <c r="A164" s="9" t="str">
        <f>IF(B164="","","SKU"&amp;TEXT(ROW()-1,"000"))</f>
        <v/>
      </c>
      <c r="B164" s="9"/>
      <c r="C164" s="9"/>
      <c r="D164" s="10"/>
      <c r="E164" s="10"/>
      <c r="F164" s="10"/>
      <c r="G164" s="11"/>
      <c r="H164" s="9"/>
    </row>
    <row r="165" spans="1:8" x14ac:dyDescent="0.2">
      <c r="A165" s="9" t="str">
        <f>IF(B165="","","SKU"&amp;TEXT(ROW()-1,"000"))</f>
        <v/>
      </c>
      <c r="B165" s="9"/>
      <c r="C165" s="9"/>
      <c r="D165" s="10"/>
      <c r="E165" s="10"/>
      <c r="F165" s="10"/>
      <c r="G165" s="11"/>
      <c r="H165" s="9"/>
    </row>
    <row r="166" spans="1:8" x14ac:dyDescent="0.2">
      <c r="A166" s="9" t="str">
        <f>IF(B166="","","SKU"&amp;TEXT(ROW()-1,"000"))</f>
        <v/>
      </c>
      <c r="B166" s="9"/>
      <c r="C166" s="9"/>
      <c r="D166" s="10"/>
      <c r="E166" s="10"/>
      <c r="F166" s="10"/>
      <c r="G166" s="11"/>
      <c r="H166" s="9"/>
    </row>
    <row r="167" spans="1:8" x14ac:dyDescent="0.2">
      <c r="A167" s="9" t="str">
        <f>IF(B167="","","SKU"&amp;TEXT(ROW()-1,"000"))</f>
        <v/>
      </c>
      <c r="B167" s="9"/>
      <c r="C167" s="9"/>
      <c r="D167" s="10"/>
      <c r="E167" s="10"/>
      <c r="F167" s="10"/>
      <c r="G167" s="11"/>
      <c r="H167" s="9"/>
    </row>
    <row r="168" spans="1:8" x14ac:dyDescent="0.2">
      <c r="A168" s="9" t="str">
        <f>IF(B168="","","SKU"&amp;TEXT(ROW()-1,"000"))</f>
        <v/>
      </c>
      <c r="B168" s="9"/>
      <c r="C168" s="9"/>
      <c r="D168" s="10"/>
      <c r="E168" s="10"/>
      <c r="F168" s="10"/>
      <c r="G168" s="11"/>
      <c r="H168" s="9"/>
    </row>
    <row r="169" spans="1:8" x14ac:dyDescent="0.2">
      <c r="A169" s="9" t="str">
        <f>IF(B169="","","SKU"&amp;TEXT(ROW()-1,"000"))</f>
        <v/>
      </c>
      <c r="B169" s="9"/>
      <c r="C169" s="9"/>
      <c r="D169" s="10"/>
      <c r="E169" s="10"/>
      <c r="F169" s="10"/>
      <c r="G169" s="11"/>
      <c r="H169" s="9"/>
    </row>
    <row r="170" spans="1:8" x14ac:dyDescent="0.2">
      <c r="A170" s="9" t="str">
        <f>IF(B170="","","SKU"&amp;TEXT(ROW()-1,"000"))</f>
        <v/>
      </c>
      <c r="B170" s="9"/>
      <c r="C170" s="9"/>
      <c r="D170" s="10"/>
      <c r="E170" s="10"/>
      <c r="F170" s="10"/>
      <c r="G170" s="11"/>
      <c r="H170" s="9"/>
    </row>
    <row r="171" spans="1:8" x14ac:dyDescent="0.2">
      <c r="A171" s="9" t="str">
        <f>IF(B171="","","SKU"&amp;TEXT(ROW()-1,"000"))</f>
        <v/>
      </c>
      <c r="B171" s="9"/>
      <c r="C171" s="9"/>
      <c r="D171" s="10"/>
      <c r="E171" s="10"/>
      <c r="F171" s="10"/>
      <c r="G171" s="11"/>
      <c r="H171" s="9"/>
    </row>
    <row r="172" spans="1:8" x14ac:dyDescent="0.2">
      <c r="A172" s="9" t="str">
        <f>IF(B172="","","SKU"&amp;TEXT(ROW()-1,"000"))</f>
        <v/>
      </c>
      <c r="B172" s="9"/>
      <c r="C172" s="9"/>
      <c r="D172" s="10"/>
      <c r="E172" s="10"/>
      <c r="F172" s="10"/>
      <c r="G172" s="11"/>
      <c r="H172" s="9"/>
    </row>
    <row r="173" spans="1:8" x14ac:dyDescent="0.2">
      <c r="A173" s="9" t="str">
        <f>IF(B173="","","SKU"&amp;TEXT(ROW()-1,"000"))</f>
        <v/>
      </c>
      <c r="B173" s="9"/>
      <c r="C173" s="9"/>
      <c r="D173" s="10"/>
      <c r="E173" s="10"/>
      <c r="F173" s="10"/>
      <c r="G173" s="11"/>
      <c r="H173" s="9"/>
    </row>
    <row r="174" spans="1:8" x14ac:dyDescent="0.2">
      <c r="A174" s="9" t="str">
        <f>IF(B174="","","SKU"&amp;TEXT(ROW()-1,"000"))</f>
        <v/>
      </c>
      <c r="B174" s="9"/>
      <c r="C174" s="9"/>
      <c r="D174" s="10"/>
      <c r="E174" s="10"/>
      <c r="F174" s="10"/>
      <c r="G174" s="11"/>
      <c r="H174" s="9"/>
    </row>
    <row r="175" spans="1:8" x14ac:dyDescent="0.2">
      <c r="A175" s="9" t="str">
        <f>IF(B175="","","SKU"&amp;TEXT(ROW()-1,"000"))</f>
        <v/>
      </c>
      <c r="B175" s="9"/>
      <c r="C175" s="9"/>
      <c r="D175" s="10"/>
      <c r="E175" s="10"/>
      <c r="F175" s="10"/>
      <c r="G175" s="11"/>
      <c r="H175" s="9"/>
    </row>
    <row r="176" spans="1:8" x14ac:dyDescent="0.2">
      <c r="A176" s="9" t="str">
        <f>IF(B176="","","SKU"&amp;TEXT(ROW()-1,"000"))</f>
        <v/>
      </c>
      <c r="B176" s="9"/>
      <c r="C176" s="9"/>
      <c r="D176" s="10"/>
      <c r="E176" s="10"/>
      <c r="F176" s="10"/>
      <c r="G176" s="11"/>
      <c r="H176" s="9"/>
    </row>
    <row r="177" spans="1:8" x14ac:dyDescent="0.2">
      <c r="A177" s="9" t="str">
        <f>IF(B177="","","SKU"&amp;TEXT(ROW()-1,"000"))</f>
        <v/>
      </c>
      <c r="B177" s="9"/>
      <c r="C177" s="9"/>
      <c r="D177" s="10"/>
      <c r="E177" s="10"/>
      <c r="F177" s="10"/>
      <c r="G177" s="11"/>
      <c r="H177" s="9"/>
    </row>
    <row r="178" spans="1:8" x14ac:dyDescent="0.2">
      <c r="A178" s="9" t="str">
        <f>IF(B178="","","SKU"&amp;TEXT(ROW()-1,"000"))</f>
        <v/>
      </c>
      <c r="B178" s="9"/>
      <c r="C178" s="9"/>
      <c r="D178" s="10"/>
      <c r="E178" s="10"/>
      <c r="F178" s="10"/>
      <c r="G178" s="11"/>
      <c r="H178" s="9"/>
    </row>
    <row r="179" spans="1:8" x14ac:dyDescent="0.2">
      <c r="A179" s="9" t="str">
        <f>IF(B179="","","SKU"&amp;TEXT(ROW()-1,"000"))</f>
        <v/>
      </c>
      <c r="B179" s="9"/>
      <c r="C179" s="9"/>
      <c r="D179" s="10"/>
      <c r="E179" s="10"/>
      <c r="F179" s="10"/>
      <c r="G179" s="11"/>
      <c r="H179" s="9"/>
    </row>
    <row r="180" spans="1:8" x14ac:dyDescent="0.2">
      <c r="A180" s="9" t="str">
        <f>IF(B180="","","SKU"&amp;TEXT(ROW()-1,"000"))</f>
        <v/>
      </c>
      <c r="B180" s="9"/>
      <c r="C180" s="9"/>
      <c r="D180" s="10"/>
      <c r="E180" s="10"/>
      <c r="F180" s="10"/>
      <c r="G180" s="11"/>
      <c r="H180" s="9"/>
    </row>
    <row r="181" spans="1:8" x14ac:dyDescent="0.2">
      <c r="A181" s="9" t="str">
        <f>IF(B181="","","SKU"&amp;TEXT(ROW()-1,"000"))</f>
        <v/>
      </c>
      <c r="B181" s="9"/>
      <c r="C181" s="9"/>
      <c r="D181" s="10"/>
      <c r="E181" s="10"/>
      <c r="F181" s="10"/>
      <c r="G181" s="11"/>
      <c r="H181" s="9"/>
    </row>
    <row r="182" spans="1:8" x14ac:dyDescent="0.2">
      <c r="A182" s="9" t="str">
        <f>IF(B182="","","SKU"&amp;TEXT(ROW()-1,"000"))</f>
        <v/>
      </c>
      <c r="B182" s="9"/>
      <c r="C182" s="9"/>
      <c r="D182" s="10"/>
      <c r="E182" s="10"/>
      <c r="F182" s="10"/>
      <c r="G182" s="11"/>
      <c r="H182" s="9"/>
    </row>
    <row r="183" spans="1:8" x14ac:dyDescent="0.2">
      <c r="A183" s="9" t="str">
        <f>IF(B183="","","SKU"&amp;TEXT(ROW()-1,"000"))</f>
        <v/>
      </c>
      <c r="B183" s="9"/>
      <c r="C183" s="9"/>
      <c r="D183" s="10"/>
      <c r="E183" s="10"/>
      <c r="F183" s="10"/>
      <c r="G183" s="11"/>
      <c r="H183" s="9"/>
    </row>
    <row r="184" spans="1:8" x14ac:dyDescent="0.2">
      <c r="A184" s="9" t="str">
        <f>IF(B184="","","SKU"&amp;TEXT(ROW()-1,"000"))</f>
        <v/>
      </c>
      <c r="B184" s="9"/>
      <c r="C184" s="9"/>
      <c r="D184" s="10"/>
      <c r="E184" s="10"/>
      <c r="F184" s="10"/>
      <c r="G184" s="11"/>
      <c r="H184" s="9"/>
    </row>
    <row r="185" spans="1:8" x14ac:dyDescent="0.2">
      <c r="A185" s="9" t="str">
        <f>IF(B185="","","SKU"&amp;TEXT(ROW()-1,"000"))</f>
        <v/>
      </c>
      <c r="B185" s="9"/>
      <c r="C185" s="9"/>
      <c r="D185" s="10"/>
      <c r="E185" s="10"/>
      <c r="F185" s="10"/>
      <c r="G185" s="11"/>
      <c r="H185" s="9"/>
    </row>
    <row r="186" spans="1:8" x14ac:dyDescent="0.2">
      <c r="A186" s="9" t="str">
        <f>IF(B186="","","SKU"&amp;TEXT(ROW()-1,"000"))</f>
        <v/>
      </c>
      <c r="B186" s="9"/>
      <c r="C186" s="9"/>
      <c r="D186" s="10"/>
      <c r="E186" s="10"/>
      <c r="F186" s="10"/>
      <c r="G186" s="11"/>
      <c r="H186" s="9"/>
    </row>
    <row r="187" spans="1:8" x14ac:dyDescent="0.2">
      <c r="A187" s="9" t="str">
        <f>IF(B187="","","SKU"&amp;TEXT(ROW()-1,"000"))</f>
        <v/>
      </c>
      <c r="B187" s="9"/>
      <c r="C187" s="9"/>
      <c r="D187" s="10"/>
      <c r="E187" s="10"/>
      <c r="F187" s="10"/>
      <c r="G187" s="11"/>
      <c r="H187" s="9"/>
    </row>
    <row r="188" spans="1:8" x14ac:dyDescent="0.2">
      <c r="A188" s="9" t="str">
        <f>IF(B188="","","SKU"&amp;TEXT(ROW()-1,"000"))</f>
        <v/>
      </c>
      <c r="B188" s="9"/>
      <c r="C188" s="9"/>
      <c r="D188" s="10"/>
      <c r="E188" s="10"/>
      <c r="F188" s="10"/>
      <c r="G188" s="11"/>
      <c r="H188" s="9"/>
    </row>
    <row r="189" spans="1:8" x14ac:dyDescent="0.2">
      <c r="A189" s="9" t="str">
        <f>IF(B189="","","SKU"&amp;TEXT(ROW()-1,"000"))</f>
        <v/>
      </c>
      <c r="B189" s="9"/>
      <c r="C189" s="9"/>
      <c r="D189" s="10"/>
      <c r="E189" s="10"/>
      <c r="F189" s="10"/>
      <c r="G189" s="11"/>
      <c r="H189" s="9"/>
    </row>
    <row r="190" spans="1:8" x14ac:dyDescent="0.2">
      <c r="A190" s="9" t="str">
        <f>IF(B190="","","SKU"&amp;TEXT(ROW()-1,"000"))</f>
        <v/>
      </c>
      <c r="B190" s="9"/>
      <c r="C190" s="9"/>
      <c r="D190" s="10"/>
      <c r="E190" s="10"/>
      <c r="F190" s="10"/>
      <c r="G190" s="11"/>
      <c r="H190" s="9"/>
    </row>
    <row r="191" spans="1:8" x14ac:dyDescent="0.2">
      <c r="A191" s="9" t="str">
        <f>IF(B191="","","SKU"&amp;TEXT(ROW()-1,"000"))</f>
        <v/>
      </c>
      <c r="B191" s="9"/>
      <c r="C191" s="9"/>
      <c r="D191" s="10"/>
      <c r="E191" s="10"/>
      <c r="F191" s="10"/>
      <c r="G191" s="11"/>
      <c r="H191" s="9"/>
    </row>
    <row r="192" spans="1:8" x14ac:dyDescent="0.2">
      <c r="A192" s="9" t="str">
        <f>IF(B192="","","SKU"&amp;TEXT(ROW()-1,"000"))</f>
        <v/>
      </c>
      <c r="B192" s="9"/>
      <c r="C192" s="9"/>
      <c r="D192" s="10"/>
      <c r="E192" s="10"/>
      <c r="F192" s="10"/>
      <c r="G192" s="11"/>
      <c r="H192" s="9"/>
    </row>
    <row r="193" spans="1:8" x14ac:dyDescent="0.2">
      <c r="A193" s="9" t="str">
        <f>IF(B193="","","SKU"&amp;TEXT(ROW()-1,"000"))</f>
        <v/>
      </c>
      <c r="B193" s="9"/>
      <c r="C193" s="9"/>
      <c r="D193" s="10"/>
      <c r="E193" s="10"/>
      <c r="F193" s="10"/>
      <c r="G193" s="11"/>
      <c r="H193" s="9"/>
    </row>
    <row r="194" spans="1:8" x14ac:dyDescent="0.2">
      <c r="A194" s="9" t="str">
        <f>IF(B194="","","SKU"&amp;TEXT(ROW()-1,"000"))</f>
        <v/>
      </c>
      <c r="B194" s="9"/>
      <c r="C194" s="9"/>
      <c r="D194" s="10"/>
      <c r="E194" s="10"/>
      <c r="F194" s="10"/>
      <c r="G194" s="11"/>
      <c r="H194" s="9"/>
    </row>
    <row r="195" spans="1:8" x14ac:dyDescent="0.2">
      <c r="A195" s="9" t="str">
        <f>IF(B195="","","SKU"&amp;TEXT(ROW()-1,"000"))</f>
        <v/>
      </c>
      <c r="B195" s="9"/>
      <c r="C195" s="9"/>
      <c r="D195" s="10"/>
      <c r="E195" s="10"/>
      <c r="F195" s="10"/>
      <c r="G195" s="11"/>
      <c r="H195" s="9"/>
    </row>
    <row r="196" spans="1:8" x14ac:dyDescent="0.2">
      <c r="A196" s="9" t="str">
        <f>IF(B196="","","SKU"&amp;TEXT(ROW()-1,"000"))</f>
        <v/>
      </c>
      <c r="B196" s="9"/>
      <c r="C196" s="9"/>
      <c r="D196" s="10"/>
      <c r="E196" s="10"/>
      <c r="F196" s="10"/>
      <c r="G196" s="11"/>
      <c r="H196" s="9"/>
    </row>
    <row r="197" spans="1:8" x14ac:dyDescent="0.2">
      <c r="A197" s="9" t="str">
        <f>IF(B197="","","SKU"&amp;TEXT(ROW()-1,"000"))</f>
        <v/>
      </c>
      <c r="B197" s="9"/>
      <c r="C197" s="9"/>
      <c r="D197" s="10"/>
      <c r="E197" s="10"/>
      <c r="F197" s="10"/>
      <c r="G197" s="11"/>
      <c r="H197" s="9"/>
    </row>
    <row r="198" spans="1:8" x14ac:dyDescent="0.2">
      <c r="A198" s="9" t="str">
        <f>IF(B198="","","SKU"&amp;TEXT(ROW()-1,"000"))</f>
        <v/>
      </c>
      <c r="B198" s="9"/>
      <c r="C198" s="9"/>
      <c r="D198" s="10"/>
      <c r="E198" s="10"/>
      <c r="F198" s="10"/>
      <c r="G198" s="11"/>
      <c r="H198" s="9"/>
    </row>
    <row r="199" spans="1:8" x14ac:dyDescent="0.2">
      <c r="A199" s="9" t="str">
        <f>IF(B199="","","SKU"&amp;TEXT(ROW()-1,"000"))</f>
        <v/>
      </c>
      <c r="B199" s="9"/>
      <c r="C199" s="9"/>
      <c r="D199" s="10"/>
      <c r="E199" s="10"/>
      <c r="F199" s="10"/>
      <c r="G199" s="11"/>
      <c r="H199" s="9"/>
    </row>
    <row r="200" spans="1:8" x14ac:dyDescent="0.2">
      <c r="A200" s="9" t="str">
        <f>IF(B200="","","SKU"&amp;TEXT(ROW()-1,"000"))</f>
        <v/>
      </c>
      <c r="B200" s="9"/>
      <c r="C200" s="9"/>
      <c r="D200" s="10"/>
      <c r="E200" s="10"/>
      <c r="F200" s="10"/>
      <c r="G200" s="11"/>
      <c r="H200" s="9"/>
    </row>
    <row r="201" spans="1:8" x14ac:dyDescent="0.2">
      <c r="A201" s="9" t="str">
        <f>IF(B201="","","SKU"&amp;TEXT(ROW()-1,"000"))</f>
        <v/>
      </c>
      <c r="B201" s="9"/>
      <c r="C201" s="9"/>
      <c r="D201" s="10"/>
      <c r="E201" s="10"/>
      <c r="F201" s="10"/>
      <c r="G201" s="11"/>
      <c r="H201" s="9"/>
    </row>
    <row r="202" spans="1:8" x14ac:dyDescent="0.2">
      <c r="A202" s="9" t="str">
        <f>IF(B202="","","SKU"&amp;TEXT(ROW()-1,"000"))</f>
        <v/>
      </c>
      <c r="B202" s="9"/>
      <c r="C202" s="9"/>
      <c r="D202" s="10"/>
      <c r="E202" s="10"/>
      <c r="F202" s="10"/>
      <c r="G202" s="11"/>
      <c r="H202" s="9"/>
    </row>
    <row r="203" spans="1:8" x14ac:dyDescent="0.2">
      <c r="A203" s="9" t="str">
        <f>IF(B203="","","SKU"&amp;TEXT(ROW()-1,"000"))</f>
        <v/>
      </c>
      <c r="B203" s="9"/>
      <c r="C203" s="9"/>
      <c r="D203" s="10"/>
      <c r="E203" s="10"/>
      <c r="F203" s="10"/>
      <c r="G203" s="11"/>
      <c r="H203" s="9"/>
    </row>
    <row r="204" spans="1:8" x14ac:dyDescent="0.2">
      <c r="A204" s="9" t="str">
        <f>IF(B204="","","SKU"&amp;TEXT(ROW()-1,"000"))</f>
        <v/>
      </c>
      <c r="B204" s="9"/>
      <c r="C204" s="9"/>
      <c r="D204" s="10"/>
      <c r="E204" s="10"/>
      <c r="F204" s="10"/>
      <c r="G204" s="11"/>
      <c r="H204" s="9"/>
    </row>
  </sheetData>
  <autoFilter ref="A1:H204" xr:uid="{00000000-0009-0000-0000-000002000000}"/>
  <dataValidations count="2">
    <dataValidation type="decimal" allowBlank="1" promptTitle="Platform fee percentage" prompt="Enter a percentage as a decimal, e.g. 5% as 0.05." sqref="G2:G204" xr:uid="{00000000-0002-0000-0200-000000000000}">
      <formula1>0</formula1>
      <formula2>1</formula2>
    </dataValidation>
    <dataValidation type="decimal" operator="greaterThanOrEqual" allowBlank="1" sqref="D2:F204" xr:uid="{00000000-0002-0000-0200-000001000000}">
      <formula1>0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46E5"/>
    <pageSetUpPr fitToPage="1"/>
  </sheetPr>
  <dimension ref="A1:Q5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2" width="16.0078125" customWidth="1"/>
    <col min="3" max="3" width="13.98828125" customWidth="1"/>
    <col min="4" max="4" width="23.9453125" customWidth="1"/>
    <col min="5" max="5" width="11.97265625" customWidth="1"/>
    <col min="6" max="6" width="20.04296875" customWidth="1"/>
    <col min="7" max="7" width="16.0078125" customWidth="1"/>
    <col min="8" max="8" width="18.96484375" customWidth="1"/>
    <col min="9" max="9" width="23.9453125" customWidth="1"/>
    <col min="10" max="10" width="13.98828125" customWidth="1"/>
    <col min="11" max="11" width="16.94921875" customWidth="1"/>
    <col min="12" max="12" width="18.0234375" customWidth="1"/>
    <col min="13" max="13" width="16.94921875" customWidth="1"/>
    <col min="14" max="14" width="18.96484375" customWidth="1"/>
    <col min="15" max="15" width="20.04296875" customWidth="1"/>
    <col min="16" max="16" width="22.05859375" customWidth="1"/>
    <col min="17" max="17" width="37.93359375" customWidth="1"/>
  </cols>
  <sheetData>
    <row r="1" spans="1:17" ht="48" customHeight="1" x14ac:dyDescent="0.2">
      <c r="A1" s="5" t="s">
        <v>52</v>
      </c>
      <c r="B1" s="5" t="s">
        <v>53</v>
      </c>
      <c r="C1" s="5" t="s">
        <v>34</v>
      </c>
      <c r="D1" s="5" t="s">
        <v>35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41</v>
      </c>
    </row>
    <row r="2" spans="1:17" x14ac:dyDescent="0.2">
      <c r="A2" s="12"/>
      <c r="B2" s="9"/>
      <c r="C2" s="9"/>
      <c r="D2" s="9" t="str">
        <f>IFERROR(VLOOKUP(C2,Products!$A$2:$G$204,2,FALSE),"")</f>
        <v/>
      </c>
      <c r="E2" s="13"/>
      <c r="F2" s="10">
        <f>IFERROR(VLOOKUP(C2,Products!$A$2:$G$204,6,FALSE),0)</f>
        <v>0</v>
      </c>
      <c r="G2" s="10"/>
      <c r="H2" s="10"/>
      <c r="I2" s="10">
        <f>IF(OR(E2="",F2=""),0,MAX(0,(E2*F2-G2+H2)*IFERROR(VLOOKUP(C2,Products!$A$2:$G$204,7,FALSE),0)))</f>
        <v>0</v>
      </c>
      <c r="J2" s="10"/>
      <c r="K2" s="10">
        <f>IF(OR(E2="",F2=""),0,E2*F2)</f>
        <v>0</v>
      </c>
      <c r="L2" s="10">
        <f>IF(E2="",0,K2-G2+H2-I2-J2)</f>
        <v>0</v>
      </c>
      <c r="M2" s="10">
        <f>IFERROR(E2*VLOOKUP(C2,Products!$A$2:$G$204,4,FALSE),0)</f>
        <v>0</v>
      </c>
      <c r="N2" s="10">
        <f>IFERROR(E2*VLOOKUP(C2,Products!$A$2:$G$204,5,FALSE),0)</f>
        <v>0</v>
      </c>
      <c r="O2" s="10">
        <f>IF(E2="",0,L2-M2-N2)</f>
        <v>0</v>
      </c>
      <c r="P2" s="9"/>
      <c r="Q2" s="9"/>
    </row>
    <row r="3" spans="1:17" x14ac:dyDescent="0.2">
      <c r="A3" s="14"/>
      <c r="B3" s="6"/>
      <c r="C3" s="6"/>
      <c r="D3" s="6" t="str">
        <f>IFERROR(VLOOKUP(C3,Products!$A$2:$G$204,2,FALSE),"")</f>
        <v/>
      </c>
      <c r="E3" s="15"/>
      <c r="F3" s="7">
        <f>IFERROR(VLOOKUP(C3,Products!$A$2:$G$204,6,FALSE),0)</f>
        <v>0</v>
      </c>
      <c r="G3" s="7"/>
      <c r="H3" s="7"/>
      <c r="I3" s="7">
        <f>IF(OR(E3="",F3=""),0,MAX(0,(E3*F3-G3+H3)*IFERROR(VLOOKUP(C3,Products!$A$2:$G$204,7,FALSE),0)))</f>
        <v>0</v>
      </c>
      <c r="J3" s="7"/>
      <c r="K3" s="7">
        <f>IF(OR(E3="",F3=""),0,E3*F3)</f>
        <v>0</v>
      </c>
      <c r="L3" s="7">
        <f>IF(E3="",0,K3-G3+H3-I3-J3)</f>
        <v>0</v>
      </c>
      <c r="M3" s="7">
        <f>IFERROR(E3*VLOOKUP(C3,Products!$A$2:$G$204,4,FALSE),0)</f>
        <v>0</v>
      </c>
      <c r="N3" s="7">
        <f>IFERROR(E3*VLOOKUP(C3,Products!$A$2:$G$204,5,FALSE),0)</f>
        <v>0</v>
      </c>
      <c r="O3" s="7">
        <f>IF(E3="",0,L3-M3-N3)</f>
        <v>0</v>
      </c>
      <c r="P3" s="6"/>
      <c r="Q3" s="6"/>
    </row>
    <row r="4" spans="1:17" x14ac:dyDescent="0.2">
      <c r="A4" s="12"/>
      <c r="B4" s="9"/>
      <c r="C4" s="9"/>
      <c r="D4" s="9" t="str">
        <f>IFERROR(VLOOKUP(C4,Products!$A$2:$G$204,2,FALSE),"")</f>
        <v/>
      </c>
      <c r="E4" s="13"/>
      <c r="F4" s="10">
        <f>IFERROR(VLOOKUP(C4,Products!$A$2:$G$204,6,FALSE),0)</f>
        <v>0</v>
      </c>
      <c r="G4" s="10"/>
      <c r="H4" s="10"/>
      <c r="I4" s="10">
        <f>IF(OR(E4="",F4=""),0,MAX(0,(E4*F4-G4+H4)*IFERROR(VLOOKUP(C4,Products!$A$2:$G$204,7,FALSE),0)))</f>
        <v>0</v>
      </c>
      <c r="J4" s="10"/>
      <c r="K4" s="10">
        <f>IF(OR(E4="",F4=""),0,E4*F4)</f>
        <v>0</v>
      </c>
      <c r="L4" s="10">
        <f>IF(E4="",0,K4-G4+H4-I4-J4)</f>
        <v>0</v>
      </c>
      <c r="M4" s="10">
        <f>IFERROR(E4*VLOOKUP(C4,Products!$A$2:$G$204,4,FALSE),0)</f>
        <v>0</v>
      </c>
      <c r="N4" s="10">
        <f>IFERROR(E4*VLOOKUP(C4,Products!$A$2:$G$204,5,FALSE),0)</f>
        <v>0</v>
      </c>
      <c r="O4" s="10">
        <f>IF(E4="",0,L4-M4-N4)</f>
        <v>0</v>
      </c>
      <c r="P4" s="9"/>
      <c r="Q4" s="9"/>
    </row>
    <row r="5" spans="1:17" x14ac:dyDescent="0.2">
      <c r="A5" s="14"/>
      <c r="B5" s="6"/>
      <c r="C5" s="6"/>
      <c r="D5" s="6" t="str">
        <f>IFERROR(VLOOKUP(C5,Products!$A$2:$G$204,2,FALSE),"")</f>
        <v/>
      </c>
      <c r="E5" s="15"/>
      <c r="F5" s="7">
        <f>IFERROR(VLOOKUP(C5,Products!$A$2:$G$204,6,FALSE),0)</f>
        <v>0</v>
      </c>
      <c r="G5" s="7"/>
      <c r="H5" s="7"/>
      <c r="I5" s="7">
        <f>IF(OR(E5="",F5=""),0,MAX(0,(E5*F5-G5+H5)*IFERROR(VLOOKUP(C5,Products!$A$2:$G$204,7,FALSE),0)))</f>
        <v>0</v>
      </c>
      <c r="J5" s="7"/>
      <c r="K5" s="7">
        <f>IF(OR(E5="",F5=""),0,E5*F5)</f>
        <v>0</v>
      </c>
      <c r="L5" s="7">
        <f>IF(E5="",0,K5-G5+H5-I5-J5)</f>
        <v>0</v>
      </c>
      <c r="M5" s="7">
        <f>IFERROR(E5*VLOOKUP(C5,Products!$A$2:$G$204,4,FALSE),0)</f>
        <v>0</v>
      </c>
      <c r="N5" s="7">
        <f>IFERROR(E5*VLOOKUP(C5,Products!$A$2:$G$204,5,FALSE),0)</f>
        <v>0</v>
      </c>
      <c r="O5" s="7">
        <f>IF(E5="",0,L5-M5-N5)</f>
        <v>0</v>
      </c>
      <c r="P5" s="6"/>
      <c r="Q5" s="6"/>
    </row>
    <row r="6" spans="1:17" x14ac:dyDescent="0.2">
      <c r="A6" s="12"/>
      <c r="B6" s="9"/>
      <c r="C6" s="9"/>
      <c r="D6" s="9" t="str">
        <f>IFERROR(VLOOKUP(C6,Products!$A$2:$G$204,2,FALSE),"")</f>
        <v/>
      </c>
      <c r="E6" s="13"/>
      <c r="F6" s="10">
        <f>IFERROR(VLOOKUP(C6,Products!$A$2:$G$204,6,FALSE),0)</f>
        <v>0</v>
      </c>
      <c r="G6" s="10"/>
      <c r="H6" s="10"/>
      <c r="I6" s="10">
        <f>IF(OR(E6="",F6=""),0,MAX(0,(E6*F6-G6+H6)*IFERROR(VLOOKUP(C6,Products!$A$2:$G$204,7,FALSE),0)))</f>
        <v>0</v>
      </c>
      <c r="J6" s="10"/>
      <c r="K6" s="10">
        <f>IF(OR(E6="",F6=""),0,E6*F6)</f>
        <v>0</v>
      </c>
      <c r="L6" s="10">
        <f>IF(E6="",0,K6-G6+H6-I6-J6)</f>
        <v>0</v>
      </c>
      <c r="M6" s="10">
        <f>IFERROR(E6*VLOOKUP(C6,Products!$A$2:$G$204,4,FALSE),0)</f>
        <v>0</v>
      </c>
      <c r="N6" s="10">
        <f>IFERROR(E6*VLOOKUP(C6,Products!$A$2:$G$204,5,FALSE),0)</f>
        <v>0</v>
      </c>
      <c r="O6" s="10">
        <f>IF(E6="",0,L6-M6-N6)</f>
        <v>0</v>
      </c>
      <c r="P6" s="9"/>
      <c r="Q6" s="9"/>
    </row>
    <row r="7" spans="1:17" x14ac:dyDescent="0.2">
      <c r="A7" s="14"/>
      <c r="B7" s="6"/>
      <c r="C7" s="6"/>
      <c r="D7" s="6" t="str">
        <f>IFERROR(VLOOKUP(C7,Products!$A$2:$G$204,2,FALSE),"")</f>
        <v/>
      </c>
      <c r="E7" s="15"/>
      <c r="F7" s="7">
        <f>IFERROR(VLOOKUP(C7,Products!$A$2:$G$204,6,FALSE),0)</f>
        <v>0</v>
      </c>
      <c r="G7" s="7"/>
      <c r="H7" s="7"/>
      <c r="I7" s="7">
        <f>IF(OR(E7="",F7=""),0,MAX(0,(E7*F7-G7+H7)*IFERROR(VLOOKUP(C7,Products!$A$2:$G$204,7,FALSE),0)))</f>
        <v>0</v>
      </c>
      <c r="J7" s="7"/>
      <c r="K7" s="7">
        <f>IF(OR(E7="",F7=""),0,E7*F7)</f>
        <v>0</v>
      </c>
      <c r="L7" s="7">
        <f>IF(E7="",0,K7-G7+H7-I7-J7)</f>
        <v>0</v>
      </c>
      <c r="M7" s="7">
        <f>IFERROR(E7*VLOOKUP(C7,Products!$A$2:$G$204,4,FALSE),0)</f>
        <v>0</v>
      </c>
      <c r="N7" s="7">
        <f>IFERROR(E7*VLOOKUP(C7,Products!$A$2:$G$204,5,FALSE),0)</f>
        <v>0</v>
      </c>
      <c r="O7" s="7">
        <f>IF(E7="",0,L7-M7-N7)</f>
        <v>0</v>
      </c>
      <c r="P7" s="6"/>
      <c r="Q7" s="6"/>
    </row>
    <row r="8" spans="1:17" x14ac:dyDescent="0.2">
      <c r="A8" s="12"/>
      <c r="B8" s="9"/>
      <c r="C8" s="9"/>
      <c r="D8" s="9" t="str">
        <f>IFERROR(VLOOKUP(C8,Products!$A$2:$G$204,2,FALSE),"")</f>
        <v/>
      </c>
      <c r="E8" s="13"/>
      <c r="F8" s="10">
        <f>IFERROR(VLOOKUP(C8,Products!$A$2:$G$204,6,FALSE),0)</f>
        <v>0</v>
      </c>
      <c r="G8" s="10"/>
      <c r="H8" s="10"/>
      <c r="I8" s="10">
        <f>IF(OR(E8="",F8=""),0,MAX(0,(E8*F8-G8+H8)*IFERROR(VLOOKUP(C8,Products!$A$2:$G$204,7,FALSE),0)))</f>
        <v>0</v>
      </c>
      <c r="J8" s="10"/>
      <c r="K8" s="10">
        <f>IF(OR(E8="",F8=""),0,E8*F8)</f>
        <v>0</v>
      </c>
      <c r="L8" s="10">
        <f>IF(E8="",0,K8-G8+H8-I8-J8)</f>
        <v>0</v>
      </c>
      <c r="M8" s="10">
        <f>IFERROR(E8*VLOOKUP(C8,Products!$A$2:$G$204,4,FALSE),0)</f>
        <v>0</v>
      </c>
      <c r="N8" s="10">
        <f>IFERROR(E8*VLOOKUP(C8,Products!$A$2:$G$204,5,FALSE),0)</f>
        <v>0</v>
      </c>
      <c r="O8" s="10">
        <f>IF(E8="",0,L8-M8-N8)</f>
        <v>0</v>
      </c>
      <c r="P8" s="9"/>
      <c r="Q8" s="9"/>
    </row>
    <row r="9" spans="1:17" x14ac:dyDescent="0.2">
      <c r="A9" s="14"/>
      <c r="B9" s="6"/>
      <c r="C9" s="6"/>
      <c r="D9" s="6" t="str">
        <f>IFERROR(VLOOKUP(C9,Products!$A$2:$G$204,2,FALSE),"")</f>
        <v/>
      </c>
      <c r="E9" s="15"/>
      <c r="F9" s="7">
        <f>IFERROR(VLOOKUP(C9,Products!$A$2:$G$204,6,FALSE),0)</f>
        <v>0</v>
      </c>
      <c r="G9" s="7"/>
      <c r="H9" s="7"/>
      <c r="I9" s="7">
        <f>IF(OR(E9="",F9=""),0,MAX(0,(E9*F9-G9+H9)*IFERROR(VLOOKUP(C9,Products!$A$2:$G$204,7,FALSE),0)))</f>
        <v>0</v>
      </c>
      <c r="J9" s="7"/>
      <c r="K9" s="7">
        <f>IF(OR(E9="",F9=""),0,E9*F9)</f>
        <v>0</v>
      </c>
      <c r="L9" s="7">
        <f>IF(E9="",0,K9-G9+H9-I9-J9)</f>
        <v>0</v>
      </c>
      <c r="M9" s="7">
        <f>IFERROR(E9*VLOOKUP(C9,Products!$A$2:$G$204,4,FALSE),0)</f>
        <v>0</v>
      </c>
      <c r="N9" s="7">
        <f>IFERROR(E9*VLOOKUP(C9,Products!$A$2:$G$204,5,FALSE),0)</f>
        <v>0</v>
      </c>
      <c r="O9" s="7">
        <f>IF(E9="",0,L9-M9-N9)</f>
        <v>0</v>
      </c>
      <c r="P9" s="6"/>
      <c r="Q9" s="6"/>
    </row>
    <row r="10" spans="1:17" x14ac:dyDescent="0.2">
      <c r="A10" s="12"/>
      <c r="B10" s="9"/>
      <c r="C10" s="9"/>
      <c r="D10" s="9" t="str">
        <f>IFERROR(VLOOKUP(C10,Products!$A$2:$G$204,2,FALSE),"")</f>
        <v/>
      </c>
      <c r="E10" s="13"/>
      <c r="F10" s="10">
        <f>IFERROR(VLOOKUP(C10,Products!$A$2:$G$204,6,FALSE),0)</f>
        <v>0</v>
      </c>
      <c r="G10" s="10"/>
      <c r="H10" s="10"/>
      <c r="I10" s="10">
        <f>IF(OR(E10="",F10=""),0,MAX(0,(E10*F10-G10+H10)*IFERROR(VLOOKUP(C10,Products!$A$2:$G$204,7,FALSE),0)))</f>
        <v>0</v>
      </c>
      <c r="J10" s="10"/>
      <c r="K10" s="10">
        <f>IF(OR(E10="",F10=""),0,E10*F10)</f>
        <v>0</v>
      </c>
      <c r="L10" s="10">
        <f>IF(E10="",0,K10-G10+H10-I10-J10)</f>
        <v>0</v>
      </c>
      <c r="M10" s="10">
        <f>IFERROR(E10*VLOOKUP(C10,Products!$A$2:$G$204,4,FALSE),0)</f>
        <v>0</v>
      </c>
      <c r="N10" s="10">
        <f>IFERROR(E10*VLOOKUP(C10,Products!$A$2:$G$204,5,FALSE),0)</f>
        <v>0</v>
      </c>
      <c r="O10" s="10">
        <f>IF(E10="",0,L10-M10-N10)</f>
        <v>0</v>
      </c>
      <c r="P10" s="9"/>
      <c r="Q10" s="9"/>
    </row>
    <row r="11" spans="1:17" x14ac:dyDescent="0.2">
      <c r="A11" s="14"/>
      <c r="B11" s="6"/>
      <c r="C11" s="6"/>
      <c r="D11" s="6" t="str">
        <f>IFERROR(VLOOKUP(C11,Products!$A$2:$G$204,2,FALSE),"")</f>
        <v/>
      </c>
      <c r="E11" s="15"/>
      <c r="F11" s="7">
        <f>IFERROR(VLOOKUP(C11,Products!$A$2:$G$204,6,FALSE),0)</f>
        <v>0</v>
      </c>
      <c r="G11" s="7"/>
      <c r="H11" s="7"/>
      <c r="I11" s="7">
        <f>IF(OR(E11="",F11=""),0,MAX(0,(E11*F11-G11+H11)*IFERROR(VLOOKUP(C11,Products!$A$2:$G$204,7,FALSE),0)))</f>
        <v>0</v>
      </c>
      <c r="J11" s="7"/>
      <c r="K11" s="7">
        <f>IF(OR(E11="",F11=""),0,E11*F11)</f>
        <v>0</v>
      </c>
      <c r="L11" s="7">
        <f>IF(E11="",0,K11-G11+H11-I11-J11)</f>
        <v>0</v>
      </c>
      <c r="M11" s="7">
        <f>IFERROR(E11*VLOOKUP(C11,Products!$A$2:$G$204,4,FALSE),0)</f>
        <v>0</v>
      </c>
      <c r="N11" s="7">
        <f>IFERROR(E11*VLOOKUP(C11,Products!$A$2:$G$204,5,FALSE),0)</f>
        <v>0</v>
      </c>
      <c r="O11" s="7">
        <f>IF(E11="",0,L11-M11-N11)</f>
        <v>0</v>
      </c>
      <c r="P11" s="6"/>
      <c r="Q11" s="6"/>
    </row>
    <row r="12" spans="1:17" x14ac:dyDescent="0.2">
      <c r="A12" s="12"/>
      <c r="B12" s="9"/>
      <c r="C12" s="9"/>
      <c r="D12" s="9" t="str">
        <f>IFERROR(VLOOKUP(C12,Products!$A$2:$G$204,2,FALSE),"")</f>
        <v/>
      </c>
      <c r="E12" s="13"/>
      <c r="F12" s="10">
        <f>IFERROR(VLOOKUP(C12,Products!$A$2:$G$204,6,FALSE),0)</f>
        <v>0</v>
      </c>
      <c r="G12" s="10"/>
      <c r="H12" s="10"/>
      <c r="I12" s="10">
        <f>IF(OR(E12="",F12=""),0,MAX(0,(E12*F12-G12+H12)*IFERROR(VLOOKUP(C12,Products!$A$2:$G$204,7,FALSE),0)))</f>
        <v>0</v>
      </c>
      <c r="J12" s="10"/>
      <c r="K12" s="10">
        <f>IF(OR(E12="",F12=""),0,E12*F12)</f>
        <v>0</v>
      </c>
      <c r="L12" s="10">
        <f>IF(E12="",0,K12-G12+H12-I12-J12)</f>
        <v>0</v>
      </c>
      <c r="M12" s="10">
        <f>IFERROR(E12*VLOOKUP(C12,Products!$A$2:$G$204,4,FALSE),0)</f>
        <v>0</v>
      </c>
      <c r="N12" s="10">
        <f>IFERROR(E12*VLOOKUP(C12,Products!$A$2:$G$204,5,FALSE),0)</f>
        <v>0</v>
      </c>
      <c r="O12" s="10">
        <f>IF(E12="",0,L12-M12-N12)</f>
        <v>0</v>
      </c>
      <c r="P12" s="9"/>
      <c r="Q12" s="9"/>
    </row>
    <row r="13" spans="1:17" x14ac:dyDescent="0.2">
      <c r="A13" s="14"/>
      <c r="B13" s="6"/>
      <c r="C13" s="6"/>
      <c r="D13" s="6" t="str">
        <f>IFERROR(VLOOKUP(C13,Products!$A$2:$G$204,2,FALSE),"")</f>
        <v/>
      </c>
      <c r="E13" s="15"/>
      <c r="F13" s="7">
        <f>IFERROR(VLOOKUP(C13,Products!$A$2:$G$204,6,FALSE),0)</f>
        <v>0</v>
      </c>
      <c r="G13" s="7"/>
      <c r="H13" s="7"/>
      <c r="I13" s="7">
        <f>IF(OR(E13="",F13=""),0,MAX(0,(E13*F13-G13+H13)*IFERROR(VLOOKUP(C13,Products!$A$2:$G$204,7,FALSE),0)))</f>
        <v>0</v>
      </c>
      <c r="J13" s="7"/>
      <c r="K13" s="7">
        <f>IF(OR(E13="",F13=""),0,E13*F13)</f>
        <v>0</v>
      </c>
      <c r="L13" s="7">
        <f>IF(E13="",0,K13-G13+H13-I13-J13)</f>
        <v>0</v>
      </c>
      <c r="M13" s="7">
        <f>IFERROR(E13*VLOOKUP(C13,Products!$A$2:$G$204,4,FALSE),0)</f>
        <v>0</v>
      </c>
      <c r="N13" s="7">
        <f>IFERROR(E13*VLOOKUP(C13,Products!$A$2:$G$204,5,FALSE),0)</f>
        <v>0</v>
      </c>
      <c r="O13" s="7">
        <f>IF(E13="",0,L13-M13-N13)</f>
        <v>0</v>
      </c>
      <c r="P13" s="6"/>
      <c r="Q13" s="6"/>
    </row>
    <row r="14" spans="1:17" x14ac:dyDescent="0.2">
      <c r="A14" s="12"/>
      <c r="B14" s="9"/>
      <c r="C14" s="9"/>
      <c r="D14" s="9" t="str">
        <f>IFERROR(VLOOKUP(C14,Products!$A$2:$G$204,2,FALSE),"")</f>
        <v/>
      </c>
      <c r="E14" s="13"/>
      <c r="F14" s="10">
        <f>IFERROR(VLOOKUP(C14,Products!$A$2:$G$204,6,FALSE),0)</f>
        <v>0</v>
      </c>
      <c r="G14" s="10"/>
      <c r="H14" s="10"/>
      <c r="I14" s="10">
        <f>IF(OR(E14="",F14=""),0,MAX(0,(E14*F14-G14+H14)*IFERROR(VLOOKUP(C14,Products!$A$2:$G$204,7,FALSE),0)))</f>
        <v>0</v>
      </c>
      <c r="J14" s="10"/>
      <c r="K14" s="10">
        <f>IF(OR(E14="",F14=""),0,E14*F14)</f>
        <v>0</v>
      </c>
      <c r="L14" s="10">
        <f>IF(E14="",0,K14-G14+H14-I14-J14)</f>
        <v>0</v>
      </c>
      <c r="M14" s="10">
        <f>IFERROR(E14*VLOOKUP(C14,Products!$A$2:$G$204,4,FALSE),0)</f>
        <v>0</v>
      </c>
      <c r="N14" s="10">
        <f>IFERROR(E14*VLOOKUP(C14,Products!$A$2:$G$204,5,FALSE),0)</f>
        <v>0</v>
      </c>
      <c r="O14" s="10">
        <f>IF(E14="",0,L14-M14-N14)</f>
        <v>0</v>
      </c>
      <c r="P14" s="9"/>
      <c r="Q14" s="9"/>
    </row>
    <row r="15" spans="1:17" x14ac:dyDescent="0.2">
      <c r="A15" s="14"/>
      <c r="B15" s="6"/>
      <c r="C15" s="6"/>
      <c r="D15" s="6" t="str">
        <f>IFERROR(VLOOKUP(C15,Products!$A$2:$G$204,2,FALSE),"")</f>
        <v/>
      </c>
      <c r="E15" s="15"/>
      <c r="F15" s="7">
        <f>IFERROR(VLOOKUP(C15,Products!$A$2:$G$204,6,FALSE),0)</f>
        <v>0</v>
      </c>
      <c r="G15" s="7"/>
      <c r="H15" s="7"/>
      <c r="I15" s="7">
        <f>IF(OR(E15="",F15=""),0,MAX(0,(E15*F15-G15+H15)*IFERROR(VLOOKUP(C15,Products!$A$2:$G$204,7,FALSE),0)))</f>
        <v>0</v>
      </c>
      <c r="J15" s="7"/>
      <c r="K15" s="7">
        <f>IF(OR(E15="",F15=""),0,E15*F15)</f>
        <v>0</v>
      </c>
      <c r="L15" s="7">
        <f>IF(E15="",0,K15-G15+H15-I15-J15)</f>
        <v>0</v>
      </c>
      <c r="M15" s="7">
        <f>IFERROR(E15*VLOOKUP(C15,Products!$A$2:$G$204,4,FALSE),0)</f>
        <v>0</v>
      </c>
      <c r="N15" s="7">
        <f>IFERROR(E15*VLOOKUP(C15,Products!$A$2:$G$204,5,FALSE),0)</f>
        <v>0</v>
      </c>
      <c r="O15" s="7">
        <f>IF(E15="",0,L15-M15-N15)</f>
        <v>0</v>
      </c>
      <c r="P15" s="6"/>
      <c r="Q15" s="6"/>
    </row>
    <row r="16" spans="1:17" x14ac:dyDescent="0.2">
      <c r="A16" s="12"/>
      <c r="B16" s="9"/>
      <c r="C16" s="9"/>
      <c r="D16" s="9" t="str">
        <f>IFERROR(VLOOKUP(C16,Products!$A$2:$G$204,2,FALSE),"")</f>
        <v/>
      </c>
      <c r="E16" s="13"/>
      <c r="F16" s="10">
        <f>IFERROR(VLOOKUP(C16,Products!$A$2:$G$204,6,FALSE),0)</f>
        <v>0</v>
      </c>
      <c r="G16" s="10"/>
      <c r="H16" s="10"/>
      <c r="I16" s="10">
        <f>IF(OR(E16="",F16=""),0,MAX(0,(E16*F16-G16+H16)*IFERROR(VLOOKUP(C16,Products!$A$2:$G$204,7,FALSE),0)))</f>
        <v>0</v>
      </c>
      <c r="J16" s="10"/>
      <c r="K16" s="10">
        <f>IF(OR(E16="",F16=""),0,E16*F16)</f>
        <v>0</v>
      </c>
      <c r="L16" s="10">
        <f>IF(E16="",0,K16-G16+H16-I16-J16)</f>
        <v>0</v>
      </c>
      <c r="M16" s="10">
        <f>IFERROR(E16*VLOOKUP(C16,Products!$A$2:$G$204,4,FALSE),0)</f>
        <v>0</v>
      </c>
      <c r="N16" s="10">
        <f>IFERROR(E16*VLOOKUP(C16,Products!$A$2:$G$204,5,FALSE),0)</f>
        <v>0</v>
      </c>
      <c r="O16" s="10">
        <f>IF(E16="",0,L16-M16-N16)</f>
        <v>0</v>
      </c>
      <c r="P16" s="9"/>
      <c r="Q16" s="9"/>
    </row>
    <row r="17" spans="1:17" x14ac:dyDescent="0.2">
      <c r="A17" s="14"/>
      <c r="B17" s="6"/>
      <c r="C17" s="6"/>
      <c r="D17" s="6" t="str">
        <f>IFERROR(VLOOKUP(C17,Products!$A$2:$G$204,2,FALSE),"")</f>
        <v/>
      </c>
      <c r="E17" s="15"/>
      <c r="F17" s="7">
        <f>IFERROR(VLOOKUP(C17,Products!$A$2:$G$204,6,FALSE),0)</f>
        <v>0</v>
      </c>
      <c r="G17" s="7"/>
      <c r="H17" s="7"/>
      <c r="I17" s="7">
        <f>IF(OR(E17="",F17=""),0,MAX(0,(E17*F17-G17+H17)*IFERROR(VLOOKUP(C17,Products!$A$2:$G$204,7,FALSE),0)))</f>
        <v>0</v>
      </c>
      <c r="J17" s="7"/>
      <c r="K17" s="7">
        <f>IF(OR(E17="",F17=""),0,E17*F17)</f>
        <v>0</v>
      </c>
      <c r="L17" s="7">
        <f>IF(E17="",0,K17-G17+H17-I17-J17)</f>
        <v>0</v>
      </c>
      <c r="M17" s="7">
        <f>IFERROR(E17*VLOOKUP(C17,Products!$A$2:$G$204,4,FALSE),0)</f>
        <v>0</v>
      </c>
      <c r="N17" s="7">
        <f>IFERROR(E17*VLOOKUP(C17,Products!$A$2:$G$204,5,FALSE),0)</f>
        <v>0</v>
      </c>
      <c r="O17" s="7">
        <f>IF(E17="",0,L17-M17-N17)</f>
        <v>0</v>
      </c>
      <c r="P17" s="6"/>
      <c r="Q17" s="6"/>
    </row>
    <row r="18" spans="1:17" x14ac:dyDescent="0.2">
      <c r="A18" s="12"/>
      <c r="B18" s="9"/>
      <c r="C18" s="9"/>
      <c r="D18" s="9" t="str">
        <f>IFERROR(VLOOKUP(C18,Products!$A$2:$G$204,2,FALSE),"")</f>
        <v/>
      </c>
      <c r="E18" s="13"/>
      <c r="F18" s="10">
        <f>IFERROR(VLOOKUP(C18,Products!$A$2:$G$204,6,FALSE),0)</f>
        <v>0</v>
      </c>
      <c r="G18" s="10"/>
      <c r="H18" s="10"/>
      <c r="I18" s="10">
        <f>IF(OR(E18="",F18=""),0,MAX(0,(E18*F18-G18+H18)*IFERROR(VLOOKUP(C18,Products!$A$2:$G$204,7,FALSE),0)))</f>
        <v>0</v>
      </c>
      <c r="J18" s="10"/>
      <c r="K18" s="10">
        <f>IF(OR(E18="",F18=""),0,E18*F18)</f>
        <v>0</v>
      </c>
      <c r="L18" s="10">
        <f>IF(E18="",0,K18-G18+H18-I18-J18)</f>
        <v>0</v>
      </c>
      <c r="M18" s="10">
        <f>IFERROR(E18*VLOOKUP(C18,Products!$A$2:$G$204,4,FALSE),0)</f>
        <v>0</v>
      </c>
      <c r="N18" s="10">
        <f>IFERROR(E18*VLOOKUP(C18,Products!$A$2:$G$204,5,FALSE),0)</f>
        <v>0</v>
      </c>
      <c r="O18" s="10">
        <f>IF(E18="",0,L18-M18-N18)</f>
        <v>0</v>
      </c>
      <c r="P18" s="9"/>
      <c r="Q18" s="9"/>
    </row>
    <row r="19" spans="1:17" x14ac:dyDescent="0.2">
      <c r="A19" s="14"/>
      <c r="B19" s="6"/>
      <c r="C19" s="6"/>
      <c r="D19" s="6" t="str">
        <f>IFERROR(VLOOKUP(C19,Products!$A$2:$G$204,2,FALSE),"")</f>
        <v/>
      </c>
      <c r="E19" s="15"/>
      <c r="F19" s="7">
        <f>IFERROR(VLOOKUP(C19,Products!$A$2:$G$204,6,FALSE),0)</f>
        <v>0</v>
      </c>
      <c r="G19" s="7"/>
      <c r="H19" s="7"/>
      <c r="I19" s="7">
        <f>IF(OR(E19="",F19=""),0,MAX(0,(E19*F19-G19+H19)*IFERROR(VLOOKUP(C19,Products!$A$2:$G$204,7,FALSE),0)))</f>
        <v>0</v>
      </c>
      <c r="J19" s="7"/>
      <c r="K19" s="7">
        <f>IF(OR(E19="",F19=""),0,E19*F19)</f>
        <v>0</v>
      </c>
      <c r="L19" s="7">
        <f>IF(E19="",0,K19-G19+H19-I19-J19)</f>
        <v>0</v>
      </c>
      <c r="M19" s="7">
        <f>IFERROR(E19*VLOOKUP(C19,Products!$A$2:$G$204,4,FALSE),0)</f>
        <v>0</v>
      </c>
      <c r="N19" s="7">
        <f>IFERROR(E19*VLOOKUP(C19,Products!$A$2:$G$204,5,FALSE),0)</f>
        <v>0</v>
      </c>
      <c r="O19" s="7">
        <f>IF(E19="",0,L19-M19-N19)</f>
        <v>0</v>
      </c>
      <c r="P19" s="6"/>
      <c r="Q19" s="6"/>
    </row>
    <row r="20" spans="1:17" x14ac:dyDescent="0.2">
      <c r="A20" s="12"/>
      <c r="B20" s="9"/>
      <c r="C20" s="9"/>
      <c r="D20" s="9" t="str">
        <f>IFERROR(VLOOKUP(C20,Products!$A$2:$G$204,2,FALSE),"")</f>
        <v/>
      </c>
      <c r="E20" s="13"/>
      <c r="F20" s="10">
        <f>IFERROR(VLOOKUP(C20,Products!$A$2:$G$204,6,FALSE),0)</f>
        <v>0</v>
      </c>
      <c r="G20" s="10"/>
      <c r="H20" s="10"/>
      <c r="I20" s="10">
        <f>IF(OR(E20="",F20=""),0,MAX(0,(E20*F20-G20+H20)*IFERROR(VLOOKUP(C20,Products!$A$2:$G$204,7,FALSE),0)))</f>
        <v>0</v>
      </c>
      <c r="J20" s="10"/>
      <c r="K20" s="10">
        <f>IF(OR(E20="",F20=""),0,E20*F20)</f>
        <v>0</v>
      </c>
      <c r="L20" s="10">
        <f>IF(E20="",0,K20-G20+H20-I20-J20)</f>
        <v>0</v>
      </c>
      <c r="M20" s="10">
        <f>IFERROR(E20*VLOOKUP(C20,Products!$A$2:$G$204,4,FALSE),0)</f>
        <v>0</v>
      </c>
      <c r="N20" s="10">
        <f>IFERROR(E20*VLOOKUP(C20,Products!$A$2:$G$204,5,FALSE),0)</f>
        <v>0</v>
      </c>
      <c r="O20" s="10">
        <f>IF(E20="",0,L20-M20-N20)</f>
        <v>0</v>
      </c>
      <c r="P20" s="9"/>
      <c r="Q20" s="9"/>
    </row>
    <row r="21" spans="1:17" x14ac:dyDescent="0.2">
      <c r="A21" s="14"/>
      <c r="B21" s="6"/>
      <c r="C21" s="6"/>
      <c r="D21" s="6" t="str">
        <f>IFERROR(VLOOKUP(C21,Products!$A$2:$G$204,2,FALSE),"")</f>
        <v/>
      </c>
      <c r="E21" s="15"/>
      <c r="F21" s="7">
        <f>IFERROR(VLOOKUP(C21,Products!$A$2:$G$204,6,FALSE),0)</f>
        <v>0</v>
      </c>
      <c r="G21" s="7"/>
      <c r="H21" s="7"/>
      <c r="I21" s="7">
        <f>IF(OR(E21="",F21=""),0,MAX(0,(E21*F21-G21+H21)*IFERROR(VLOOKUP(C21,Products!$A$2:$G$204,7,FALSE),0)))</f>
        <v>0</v>
      </c>
      <c r="J21" s="7"/>
      <c r="K21" s="7">
        <f>IF(OR(E21="",F21=""),0,E21*F21)</f>
        <v>0</v>
      </c>
      <c r="L21" s="7">
        <f>IF(E21="",0,K21-G21+H21-I21-J21)</f>
        <v>0</v>
      </c>
      <c r="M21" s="7">
        <f>IFERROR(E21*VLOOKUP(C21,Products!$A$2:$G$204,4,FALSE),0)</f>
        <v>0</v>
      </c>
      <c r="N21" s="7">
        <f>IFERROR(E21*VLOOKUP(C21,Products!$A$2:$G$204,5,FALSE),0)</f>
        <v>0</v>
      </c>
      <c r="O21" s="7">
        <f>IF(E21="",0,L21-M21-N21)</f>
        <v>0</v>
      </c>
      <c r="P21" s="6"/>
      <c r="Q21" s="6"/>
    </row>
    <row r="22" spans="1:17" x14ac:dyDescent="0.2">
      <c r="A22" s="12"/>
      <c r="B22" s="9"/>
      <c r="C22" s="9"/>
      <c r="D22" s="9" t="str">
        <f>IFERROR(VLOOKUP(C22,Products!$A$2:$G$204,2,FALSE),"")</f>
        <v/>
      </c>
      <c r="E22" s="13"/>
      <c r="F22" s="10">
        <f>IFERROR(VLOOKUP(C22,Products!$A$2:$G$204,6,FALSE),0)</f>
        <v>0</v>
      </c>
      <c r="G22" s="10"/>
      <c r="H22" s="10"/>
      <c r="I22" s="10">
        <f>IF(OR(E22="",F22=""),0,MAX(0,(E22*F22-G22+H22)*IFERROR(VLOOKUP(C22,Products!$A$2:$G$204,7,FALSE),0)))</f>
        <v>0</v>
      </c>
      <c r="J22" s="10"/>
      <c r="K22" s="10">
        <f>IF(OR(E22="",F22=""),0,E22*F22)</f>
        <v>0</v>
      </c>
      <c r="L22" s="10">
        <f>IF(E22="",0,K22-G22+H22-I22-J22)</f>
        <v>0</v>
      </c>
      <c r="M22" s="10">
        <f>IFERROR(E22*VLOOKUP(C22,Products!$A$2:$G$204,4,FALSE),0)</f>
        <v>0</v>
      </c>
      <c r="N22" s="10">
        <f>IFERROR(E22*VLOOKUP(C22,Products!$A$2:$G$204,5,FALSE),0)</f>
        <v>0</v>
      </c>
      <c r="O22" s="10">
        <f>IF(E22="",0,L22-M22-N22)</f>
        <v>0</v>
      </c>
      <c r="P22" s="9"/>
      <c r="Q22" s="9"/>
    </row>
    <row r="23" spans="1:17" x14ac:dyDescent="0.2">
      <c r="A23" s="14"/>
      <c r="B23" s="6"/>
      <c r="C23" s="6"/>
      <c r="D23" s="6" t="str">
        <f>IFERROR(VLOOKUP(C23,Products!$A$2:$G$204,2,FALSE),"")</f>
        <v/>
      </c>
      <c r="E23" s="15"/>
      <c r="F23" s="7">
        <f>IFERROR(VLOOKUP(C23,Products!$A$2:$G$204,6,FALSE),0)</f>
        <v>0</v>
      </c>
      <c r="G23" s="7"/>
      <c r="H23" s="7"/>
      <c r="I23" s="7">
        <f>IF(OR(E23="",F23=""),0,MAX(0,(E23*F23-G23+H23)*IFERROR(VLOOKUP(C23,Products!$A$2:$G$204,7,FALSE),0)))</f>
        <v>0</v>
      </c>
      <c r="J23" s="7"/>
      <c r="K23" s="7">
        <f>IF(OR(E23="",F23=""),0,E23*F23)</f>
        <v>0</v>
      </c>
      <c r="L23" s="7">
        <f>IF(E23="",0,K23-G23+H23-I23-J23)</f>
        <v>0</v>
      </c>
      <c r="M23" s="7">
        <f>IFERROR(E23*VLOOKUP(C23,Products!$A$2:$G$204,4,FALSE),0)</f>
        <v>0</v>
      </c>
      <c r="N23" s="7">
        <f>IFERROR(E23*VLOOKUP(C23,Products!$A$2:$G$204,5,FALSE),0)</f>
        <v>0</v>
      </c>
      <c r="O23" s="7">
        <f>IF(E23="",0,L23-M23-N23)</f>
        <v>0</v>
      </c>
      <c r="P23" s="6"/>
      <c r="Q23" s="6"/>
    </row>
    <row r="24" spans="1:17" x14ac:dyDescent="0.2">
      <c r="A24" s="12"/>
      <c r="B24" s="9"/>
      <c r="C24" s="9"/>
      <c r="D24" s="9" t="str">
        <f>IFERROR(VLOOKUP(C24,Products!$A$2:$G$204,2,FALSE),"")</f>
        <v/>
      </c>
      <c r="E24" s="13"/>
      <c r="F24" s="10">
        <f>IFERROR(VLOOKUP(C24,Products!$A$2:$G$204,6,FALSE),0)</f>
        <v>0</v>
      </c>
      <c r="G24" s="10"/>
      <c r="H24" s="10"/>
      <c r="I24" s="10">
        <f>IF(OR(E24="",F24=""),0,MAX(0,(E24*F24-G24+H24)*IFERROR(VLOOKUP(C24,Products!$A$2:$G$204,7,FALSE),0)))</f>
        <v>0</v>
      </c>
      <c r="J24" s="10"/>
      <c r="K24" s="10">
        <f>IF(OR(E24="",F24=""),0,E24*F24)</f>
        <v>0</v>
      </c>
      <c r="L24" s="10">
        <f>IF(E24="",0,K24-G24+H24-I24-J24)</f>
        <v>0</v>
      </c>
      <c r="M24" s="10">
        <f>IFERROR(E24*VLOOKUP(C24,Products!$A$2:$G$204,4,FALSE),0)</f>
        <v>0</v>
      </c>
      <c r="N24" s="10">
        <f>IFERROR(E24*VLOOKUP(C24,Products!$A$2:$G$204,5,FALSE),0)</f>
        <v>0</v>
      </c>
      <c r="O24" s="10">
        <f>IF(E24="",0,L24-M24-N24)</f>
        <v>0</v>
      </c>
      <c r="P24" s="9"/>
      <c r="Q24" s="9"/>
    </row>
    <row r="25" spans="1:17" x14ac:dyDescent="0.2">
      <c r="A25" s="14"/>
      <c r="B25" s="6"/>
      <c r="C25" s="6"/>
      <c r="D25" s="6" t="str">
        <f>IFERROR(VLOOKUP(C25,Products!$A$2:$G$204,2,FALSE),"")</f>
        <v/>
      </c>
      <c r="E25" s="15"/>
      <c r="F25" s="7">
        <f>IFERROR(VLOOKUP(C25,Products!$A$2:$G$204,6,FALSE),0)</f>
        <v>0</v>
      </c>
      <c r="G25" s="7"/>
      <c r="H25" s="7"/>
      <c r="I25" s="7">
        <f>IF(OR(E25="",F25=""),0,MAX(0,(E25*F25-G25+H25)*IFERROR(VLOOKUP(C25,Products!$A$2:$G$204,7,FALSE),0)))</f>
        <v>0</v>
      </c>
      <c r="J25" s="7"/>
      <c r="K25" s="7">
        <f>IF(OR(E25="",F25=""),0,E25*F25)</f>
        <v>0</v>
      </c>
      <c r="L25" s="7">
        <f>IF(E25="",0,K25-G25+H25-I25-J25)</f>
        <v>0</v>
      </c>
      <c r="M25" s="7">
        <f>IFERROR(E25*VLOOKUP(C25,Products!$A$2:$G$204,4,FALSE),0)</f>
        <v>0</v>
      </c>
      <c r="N25" s="7">
        <f>IFERROR(E25*VLOOKUP(C25,Products!$A$2:$G$204,5,FALSE),0)</f>
        <v>0</v>
      </c>
      <c r="O25" s="7">
        <f>IF(E25="",0,L25-M25-N25)</f>
        <v>0</v>
      </c>
      <c r="P25" s="6"/>
      <c r="Q25" s="6"/>
    </row>
    <row r="26" spans="1:17" x14ac:dyDescent="0.2">
      <c r="A26" s="12"/>
      <c r="B26" s="9"/>
      <c r="C26" s="9"/>
      <c r="D26" s="9" t="str">
        <f>IFERROR(VLOOKUP(C26,Products!$A$2:$G$204,2,FALSE),"")</f>
        <v/>
      </c>
      <c r="E26" s="13"/>
      <c r="F26" s="10">
        <f>IFERROR(VLOOKUP(C26,Products!$A$2:$G$204,6,FALSE),0)</f>
        <v>0</v>
      </c>
      <c r="G26" s="10"/>
      <c r="H26" s="10"/>
      <c r="I26" s="10">
        <f>IF(OR(E26="",F26=""),0,MAX(0,(E26*F26-G26+H26)*IFERROR(VLOOKUP(C26,Products!$A$2:$G$204,7,FALSE),0)))</f>
        <v>0</v>
      </c>
      <c r="J26" s="10"/>
      <c r="K26" s="10">
        <f>IF(OR(E26="",F26=""),0,E26*F26)</f>
        <v>0</v>
      </c>
      <c r="L26" s="10">
        <f>IF(E26="",0,K26-G26+H26-I26-J26)</f>
        <v>0</v>
      </c>
      <c r="M26" s="10">
        <f>IFERROR(E26*VLOOKUP(C26,Products!$A$2:$G$204,4,FALSE),0)</f>
        <v>0</v>
      </c>
      <c r="N26" s="10">
        <f>IFERROR(E26*VLOOKUP(C26,Products!$A$2:$G$204,5,FALSE),0)</f>
        <v>0</v>
      </c>
      <c r="O26" s="10">
        <f>IF(E26="",0,L26-M26-N26)</f>
        <v>0</v>
      </c>
      <c r="P26" s="9"/>
      <c r="Q26" s="9"/>
    </row>
    <row r="27" spans="1:17" x14ac:dyDescent="0.2">
      <c r="A27" s="14"/>
      <c r="B27" s="6"/>
      <c r="C27" s="6"/>
      <c r="D27" s="6" t="str">
        <f>IFERROR(VLOOKUP(C27,Products!$A$2:$G$204,2,FALSE),"")</f>
        <v/>
      </c>
      <c r="E27" s="15"/>
      <c r="F27" s="7">
        <f>IFERROR(VLOOKUP(C27,Products!$A$2:$G$204,6,FALSE),0)</f>
        <v>0</v>
      </c>
      <c r="G27" s="7"/>
      <c r="H27" s="7"/>
      <c r="I27" s="7">
        <f>IF(OR(E27="",F27=""),0,MAX(0,(E27*F27-G27+H27)*IFERROR(VLOOKUP(C27,Products!$A$2:$G$204,7,FALSE),0)))</f>
        <v>0</v>
      </c>
      <c r="J27" s="7"/>
      <c r="K27" s="7">
        <f>IF(OR(E27="",F27=""),0,E27*F27)</f>
        <v>0</v>
      </c>
      <c r="L27" s="7">
        <f>IF(E27="",0,K27-G27+H27-I27-J27)</f>
        <v>0</v>
      </c>
      <c r="M27" s="7">
        <f>IFERROR(E27*VLOOKUP(C27,Products!$A$2:$G$204,4,FALSE),0)</f>
        <v>0</v>
      </c>
      <c r="N27" s="7">
        <f>IFERROR(E27*VLOOKUP(C27,Products!$A$2:$G$204,5,FALSE),0)</f>
        <v>0</v>
      </c>
      <c r="O27" s="7">
        <f>IF(E27="",0,L27-M27-N27)</f>
        <v>0</v>
      </c>
      <c r="P27" s="6"/>
      <c r="Q27" s="6"/>
    </row>
    <row r="28" spans="1:17" x14ac:dyDescent="0.2">
      <c r="A28" s="12"/>
      <c r="B28" s="9"/>
      <c r="C28" s="9"/>
      <c r="D28" s="9" t="str">
        <f>IFERROR(VLOOKUP(C28,Products!$A$2:$G$204,2,FALSE),"")</f>
        <v/>
      </c>
      <c r="E28" s="13"/>
      <c r="F28" s="10">
        <f>IFERROR(VLOOKUP(C28,Products!$A$2:$G$204,6,FALSE),0)</f>
        <v>0</v>
      </c>
      <c r="G28" s="10"/>
      <c r="H28" s="10"/>
      <c r="I28" s="10">
        <f>IF(OR(E28="",F28=""),0,MAX(0,(E28*F28-G28+H28)*IFERROR(VLOOKUP(C28,Products!$A$2:$G$204,7,FALSE),0)))</f>
        <v>0</v>
      </c>
      <c r="J28" s="10"/>
      <c r="K28" s="10">
        <f>IF(OR(E28="",F28=""),0,E28*F28)</f>
        <v>0</v>
      </c>
      <c r="L28" s="10">
        <f>IF(E28="",0,K28-G28+H28-I28-J28)</f>
        <v>0</v>
      </c>
      <c r="M28" s="10">
        <f>IFERROR(E28*VLOOKUP(C28,Products!$A$2:$G$204,4,FALSE),0)</f>
        <v>0</v>
      </c>
      <c r="N28" s="10">
        <f>IFERROR(E28*VLOOKUP(C28,Products!$A$2:$G$204,5,FALSE),0)</f>
        <v>0</v>
      </c>
      <c r="O28" s="10">
        <f>IF(E28="",0,L28-M28-N28)</f>
        <v>0</v>
      </c>
      <c r="P28" s="9"/>
      <c r="Q28" s="9"/>
    </row>
    <row r="29" spans="1:17" x14ac:dyDescent="0.2">
      <c r="A29" s="14"/>
      <c r="B29" s="6"/>
      <c r="C29" s="6"/>
      <c r="D29" s="6" t="str">
        <f>IFERROR(VLOOKUP(C29,Products!$A$2:$G$204,2,FALSE),"")</f>
        <v/>
      </c>
      <c r="E29" s="15"/>
      <c r="F29" s="7">
        <f>IFERROR(VLOOKUP(C29,Products!$A$2:$G$204,6,FALSE),0)</f>
        <v>0</v>
      </c>
      <c r="G29" s="7"/>
      <c r="H29" s="7"/>
      <c r="I29" s="7">
        <f>IF(OR(E29="",F29=""),0,MAX(0,(E29*F29-G29+H29)*IFERROR(VLOOKUP(C29,Products!$A$2:$G$204,7,FALSE),0)))</f>
        <v>0</v>
      </c>
      <c r="J29" s="7"/>
      <c r="K29" s="7">
        <f>IF(OR(E29="",F29=""),0,E29*F29)</f>
        <v>0</v>
      </c>
      <c r="L29" s="7">
        <f>IF(E29="",0,K29-G29+H29-I29-J29)</f>
        <v>0</v>
      </c>
      <c r="M29" s="7">
        <f>IFERROR(E29*VLOOKUP(C29,Products!$A$2:$G$204,4,FALSE),0)</f>
        <v>0</v>
      </c>
      <c r="N29" s="7">
        <f>IFERROR(E29*VLOOKUP(C29,Products!$A$2:$G$204,5,FALSE),0)</f>
        <v>0</v>
      </c>
      <c r="O29" s="7">
        <f>IF(E29="",0,L29-M29-N29)</f>
        <v>0</v>
      </c>
      <c r="P29" s="6"/>
      <c r="Q29" s="6"/>
    </row>
    <row r="30" spans="1:17" x14ac:dyDescent="0.2">
      <c r="A30" s="12"/>
      <c r="B30" s="9"/>
      <c r="C30" s="9"/>
      <c r="D30" s="9" t="str">
        <f>IFERROR(VLOOKUP(C30,Products!$A$2:$G$204,2,FALSE),"")</f>
        <v/>
      </c>
      <c r="E30" s="13"/>
      <c r="F30" s="10">
        <f>IFERROR(VLOOKUP(C30,Products!$A$2:$G$204,6,FALSE),0)</f>
        <v>0</v>
      </c>
      <c r="G30" s="10"/>
      <c r="H30" s="10"/>
      <c r="I30" s="10">
        <f>IF(OR(E30="",F30=""),0,MAX(0,(E30*F30-G30+H30)*IFERROR(VLOOKUP(C30,Products!$A$2:$G$204,7,FALSE),0)))</f>
        <v>0</v>
      </c>
      <c r="J30" s="10"/>
      <c r="K30" s="10">
        <f>IF(OR(E30="",F30=""),0,E30*F30)</f>
        <v>0</v>
      </c>
      <c r="L30" s="10">
        <f>IF(E30="",0,K30-G30+H30-I30-J30)</f>
        <v>0</v>
      </c>
      <c r="M30" s="10">
        <f>IFERROR(E30*VLOOKUP(C30,Products!$A$2:$G$204,4,FALSE),0)</f>
        <v>0</v>
      </c>
      <c r="N30" s="10">
        <f>IFERROR(E30*VLOOKUP(C30,Products!$A$2:$G$204,5,FALSE),0)</f>
        <v>0</v>
      </c>
      <c r="O30" s="10">
        <f>IF(E30="",0,L30-M30-N30)</f>
        <v>0</v>
      </c>
      <c r="P30" s="9"/>
      <c r="Q30" s="9"/>
    </row>
    <row r="31" spans="1:17" x14ac:dyDescent="0.2">
      <c r="A31" s="14"/>
      <c r="B31" s="6"/>
      <c r="C31" s="6"/>
      <c r="D31" s="6" t="str">
        <f>IFERROR(VLOOKUP(C31,Products!$A$2:$G$204,2,FALSE),"")</f>
        <v/>
      </c>
      <c r="E31" s="15"/>
      <c r="F31" s="7">
        <f>IFERROR(VLOOKUP(C31,Products!$A$2:$G$204,6,FALSE),0)</f>
        <v>0</v>
      </c>
      <c r="G31" s="7"/>
      <c r="H31" s="7"/>
      <c r="I31" s="7">
        <f>IF(OR(E31="",F31=""),0,MAX(0,(E31*F31-G31+H31)*IFERROR(VLOOKUP(C31,Products!$A$2:$G$204,7,FALSE),0)))</f>
        <v>0</v>
      </c>
      <c r="J31" s="7"/>
      <c r="K31" s="7">
        <f>IF(OR(E31="",F31=""),0,E31*F31)</f>
        <v>0</v>
      </c>
      <c r="L31" s="7">
        <f>IF(E31="",0,K31-G31+H31-I31-J31)</f>
        <v>0</v>
      </c>
      <c r="M31" s="7">
        <f>IFERROR(E31*VLOOKUP(C31,Products!$A$2:$G$204,4,FALSE),0)</f>
        <v>0</v>
      </c>
      <c r="N31" s="7">
        <f>IFERROR(E31*VLOOKUP(C31,Products!$A$2:$G$204,5,FALSE),0)</f>
        <v>0</v>
      </c>
      <c r="O31" s="7">
        <f>IF(E31="",0,L31-M31-N31)</f>
        <v>0</v>
      </c>
      <c r="P31" s="6"/>
      <c r="Q31" s="6"/>
    </row>
    <row r="32" spans="1:17" x14ac:dyDescent="0.2">
      <c r="A32" s="12"/>
      <c r="B32" s="9"/>
      <c r="C32" s="9"/>
      <c r="D32" s="9" t="str">
        <f>IFERROR(VLOOKUP(C32,Products!$A$2:$G$204,2,FALSE),"")</f>
        <v/>
      </c>
      <c r="E32" s="13"/>
      <c r="F32" s="10">
        <f>IFERROR(VLOOKUP(C32,Products!$A$2:$G$204,6,FALSE),0)</f>
        <v>0</v>
      </c>
      <c r="G32" s="10"/>
      <c r="H32" s="10"/>
      <c r="I32" s="10">
        <f>IF(OR(E32="",F32=""),0,MAX(0,(E32*F32-G32+H32)*IFERROR(VLOOKUP(C32,Products!$A$2:$G$204,7,FALSE),0)))</f>
        <v>0</v>
      </c>
      <c r="J32" s="10"/>
      <c r="K32" s="10">
        <f>IF(OR(E32="",F32=""),0,E32*F32)</f>
        <v>0</v>
      </c>
      <c r="L32" s="10">
        <f>IF(E32="",0,K32-G32+H32-I32-J32)</f>
        <v>0</v>
      </c>
      <c r="M32" s="10">
        <f>IFERROR(E32*VLOOKUP(C32,Products!$A$2:$G$204,4,FALSE),0)</f>
        <v>0</v>
      </c>
      <c r="N32" s="10">
        <f>IFERROR(E32*VLOOKUP(C32,Products!$A$2:$G$204,5,FALSE),0)</f>
        <v>0</v>
      </c>
      <c r="O32" s="10">
        <f>IF(E32="",0,L32-M32-N32)</f>
        <v>0</v>
      </c>
      <c r="P32" s="9"/>
      <c r="Q32" s="9"/>
    </row>
    <row r="33" spans="1:17" x14ac:dyDescent="0.2">
      <c r="A33" s="14"/>
      <c r="B33" s="6"/>
      <c r="C33" s="6"/>
      <c r="D33" s="6" t="str">
        <f>IFERROR(VLOOKUP(C33,Products!$A$2:$G$204,2,FALSE),"")</f>
        <v/>
      </c>
      <c r="E33" s="15"/>
      <c r="F33" s="7">
        <f>IFERROR(VLOOKUP(C33,Products!$A$2:$G$204,6,FALSE),0)</f>
        <v>0</v>
      </c>
      <c r="G33" s="7"/>
      <c r="H33" s="7"/>
      <c r="I33" s="7">
        <f>IF(OR(E33="",F33=""),0,MAX(0,(E33*F33-G33+H33)*IFERROR(VLOOKUP(C33,Products!$A$2:$G$204,7,FALSE),0)))</f>
        <v>0</v>
      </c>
      <c r="J33" s="7"/>
      <c r="K33" s="7">
        <f>IF(OR(E33="",F33=""),0,E33*F33)</f>
        <v>0</v>
      </c>
      <c r="L33" s="7">
        <f>IF(E33="",0,K33-G33+H33-I33-J33)</f>
        <v>0</v>
      </c>
      <c r="M33" s="7">
        <f>IFERROR(E33*VLOOKUP(C33,Products!$A$2:$G$204,4,FALSE),0)</f>
        <v>0</v>
      </c>
      <c r="N33" s="7">
        <f>IFERROR(E33*VLOOKUP(C33,Products!$A$2:$G$204,5,FALSE),0)</f>
        <v>0</v>
      </c>
      <c r="O33" s="7">
        <f>IF(E33="",0,L33-M33-N33)</f>
        <v>0</v>
      </c>
      <c r="P33" s="6"/>
      <c r="Q33" s="6"/>
    </row>
    <row r="34" spans="1:17" x14ac:dyDescent="0.2">
      <c r="A34" s="12"/>
      <c r="B34" s="9"/>
      <c r="C34" s="9"/>
      <c r="D34" s="9" t="str">
        <f>IFERROR(VLOOKUP(C34,Products!$A$2:$G$204,2,FALSE),"")</f>
        <v/>
      </c>
      <c r="E34" s="13"/>
      <c r="F34" s="10">
        <f>IFERROR(VLOOKUP(C34,Products!$A$2:$G$204,6,FALSE),0)</f>
        <v>0</v>
      </c>
      <c r="G34" s="10"/>
      <c r="H34" s="10"/>
      <c r="I34" s="10">
        <f>IF(OR(E34="",F34=""),0,MAX(0,(E34*F34-G34+H34)*IFERROR(VLOOKUP(C34,Products!$A$2:$G$204,7,FALSE),0)))</f>
        <v>0</v>
      </c>
      <c r="J34" s="10"/>
      <c r="K34" s="10">
        <f>IF(OR(E34="",F34=""),0,E34*F34)</f>
        <v>0</v>
      </c>
      <c r="L34" s="10">
        <f>IF(E34="",0,K34-G34+H34-I34-J34)</f>
        <v>0</v>
      </c>
      <c r="M34" s="10">
        <f>IFERROR(E34*VLOOKUP(C34,Products!$A$2:$G$204,4,FALSE),0)</f>
        <v>0</v>
      </c>
      <c r="N34" s="10">
        <f>IFERROR(E34*VLOOKUP(C34,Products!$A$2:$G$204,5,FALSE),0)</f>
        <v>0</v>
      </c>
      <c r="O34" s="10">
        <f>IF(E34="",0,L34-M34-N34)</f>
        <v>0</v>
      </c>
      <c r="P34" s="9"/>
      <c r="Q34" s="9"/>
    </row>
    <row r="35" spans="1:17" x14ac:dyDescent="0.2">
      <c r="A35" s="14"/>
      <c r="B35" s="6"/>
      <c r="C35" s="6"/>
      <c r="D35" s="6" t="str">
        <f>IFERROR(VLOOKUP(C35,Products!$A$2:$G$204,2,FALSE),"")</f>
        <v/>
      </c>
      <c r="E35" s="15"/>
      <c r="F35" s="7">
        <f>IFERROR(VLOOKUP(C35,Products!$A$2:$G$204,6,FALSE),0)</f>
        <v>0</v>
      </c>
      <c r="G35" s="7"/>
      <c r="H35" s="7"/>
      <c r="I35" s="7">
        <f>IF(OR(E35="",F35=""),0,MAX(0,(E35*F35-G35+H35)*IFERROR(VLOOKUP(C35,Products!$A$2:$G$204,7,FALSE),0)))</f>
        <v>0</v>
      </c>
      <c r="J35" s="7"/>
      <c r="K35" s="7">
        <f>IF(OR(E35="",F35=""),0,E35*F35)</f>
        <v>0</v>
      </c>
      <c r="L35" s="7">
        <f>IF(E35="",0,K35-G35+H35-I35-J35)</f>
        <v>0</v>
      </c>
      <c r="M35" s="7">
        <f>IFERROR(E35*VLOOKUP(C35,Products!$A$2:$G$204,4,FALSE),0)</f>
        <v>0</v>
      </c>
      <c r="N35" s="7">
        <f>IFERROR(E35*VLOOKUP(C35,Products!$A$2:$G$204,5,FALSE),0)</f>
        <v>0</v>
      </c>
      <c r="O35" s="7">
        <f>IF(E35="",0,L35-M35-N35)</f>
        <v>0</v>
      </c>
      <c r="P35" s="6"/>
      <c r="Q35" s="6"/>
    </row>
    <row r="36" spans="1:17" x14ac:dyDescent="0.2">
      <c r="A36" s="12"/>
      <c r="B36" s="9"/>
      <c r="C36" s="9"/>
      <c r="D36" s="9" t="str">
        <f>IFERROR(VLOOKUP(C36,Products!$A$2:$G$204,2,FALSE),"")</f>
        <v/>
      </c>
      <c r="E36" s="13"/>
      <c r="F36" s="10">
        <f>IFERROR(VLOOKUP(C36,Products!$A$2:$G$204,6,FALSE),0)</f>
        <v>0</v>
      </c>
      <c r="G36" s="10"/>
      <c r="H36" s="10"/>
      <c r="I36" s="10">
        <f>IF(OR(E36="",F36=""),0,MAX(0,(E36*F36-G36+H36)*IFERROR(VLOOKUP(C36,Products!$A$2:$G$204,7,FALSE),0)))</f>
        <v>0</v>
      </c>
      <c r="J36" s="10"/>
      <c r="K36" s="10">
        <f>IF(OR(E36="",F36=""),0,E36*F36)</f>
        <v>0</v>
      </c>
      <c r="L36" s="10">
        <f>IF(E36="",0,K36-G36+H36-I36-J36)</f>
        <v>0</v>
      </c>
      <c r="M36" s="10">
        <f>IFERROR(E36*VLOOKUP(C36,Products!$A$2:$G$204,4,FALSE),0)</f>
        <v>0</v>
      </c>
      <c r="N36" s="10">
        <f>IFERROR(E36*VLOOKUP(C36,Products!$A$2:$G$204,5,FALSE),0)</f>
        <v>0</v>
      </c>
      <c r="O36" s="10">
        <f>IF(E36="",0,L36-M36-N36)</f>
        <v>0</v>
      </c>
      <c r="P36" s="9"/>
      <c r="Q36" s="9"/>
    </row>
    <row r="37" spans="1:17" x14ac:dyDescent="0.2">
      <c r="A37" s="14"/>
      <c r="B37" s="6"/>
      <c r="C37" s="6"/>
      <c r="D37" s="6" t="str">
        <f>IFERROR(VLOOKUP(C37,Products!$A$2:$G$204,2,FALSE),"")</f>
        <v/>
      </c>
      <c r="E37" s="15"/>
      <c r="F37" s="7">
        <f>IFERROR(VLOOKUP(C37,Products!$A$2:$G$204,6,FALSE),0)</f>
        <v>0</v>
      </c>
      <c r="G37" s="7"/>
      <c r="H37" s="7"/>
      <c r="I37" s="7">
        <f>IF(OR(E37="",F37=""),0,MAX(0,(E37*F37-G37+H37)*IFERROR(VLOOKUP(C37,Products!$A$2:$G$204,7,FALSE),0)))</f>
        <v>0</v>
      </c>
      <c r="J37" s="7"/>
      <c r="K37" s="7">
        <f>IF(OR(E37="",F37=""),0,E37*F37)</f>
        <v>0</v>
      </c>
      <c r="L37" s="7">
        <f>IF(E37="",0,K37-G37+H37-I37-J37)</f>
        <v>0</v>
      </c>
      <c r="M37" s="7">
        <f>IFERROR(E37*VLOOKUP(C37,Products!$A$2:$G$204,4,FALSE),0)</f>
        <v>0</v>
      </c>
      <c r="N37" s="7">
        <f>IFERROR(E37*VLOOKUP(C37,Products!$A$2:$G$204,5,FALSE),0)</f>
        <v>0</v>
      </c>
      <c r="O37" s="7">
        <f>IF(E37="",0,L37-M37-N37)</f>
        <v>0</v>
      </c>
      <c r="P37" s="6"/>
      <c r="Q37" s="6"/>
    </row>
    <row r="38" spans="1:17" x14ac:dyDescent="0.2">
      <c r="A38" s="12"/>
      <c r="B38" s="9"/>
      <c r="C38" s="9"/>
      <c r="D38" s="9" t="str">
        <f>IFERROR(VLOOKUP(C38,Products!$A$2:$G$204,2,FALSE),"")</f>
        <v/>
      </c>
      <c r="E38" s="13"/>
      <c r="F38" s="10">
        <f>IFERROR(VLOOKUP(C38,Products!$A$2:$G$204,6,FALSE),0)</f>
        <v>0</v>
      </c>
      <c r="G38" s="10"/>
      <c r="H38" s="10"/>
      <c r="I38" s="10">
        <f>IF(OR(E38="",F38=""),0,MAX(0,(E38*F38-G38+H38)*IFERROR(VLOOKUP(C38,Products!$A$2:$G$204,7,FALSE),0)))</f>
        <v>0</v>
      </c>
      <c r="J38" s="10"/>
      <c r="K38" s="10">
        <f>IF(OR(E38="",F38=""),0,E38*F38)</f>
        <v>0</v>
      </c>
      <c r="L38" s="10">
        <f>IF(E38="",0,K38-G38+H38-I38-J38)</f>
        <v>0</v>
      </c>
      <c r="M38" s="10">
        <f>IFERROR(E38*VLOOKUP(C38,Products!$A$2:$G$204,4,FALSE),0)</f>
        <v>0</v>
      </c>
      <c r="N38" s="10">
        <f>IFERROR(E38*VLOOKUP(C38,Products!$A$2:$G$204,5,FALSE),0)</f>
        <v>0</v>
      </c>
      <c r="O38" s="10">
        <f>IF(E38="",0,L38-M38-N38)</f>
        <v>0</v>
      </c>
      <c r="P38" s="9"/>
      <c r="Q38" s="9"/>
    </row>
    <row r="39" spans="1:17" x14ac:dyDescent="0.2">
      <c r="A39" s="14"/>
      <c r="B39" s="6"/>
      <c r="C39" s="6"/>
      <c r="D39" s="6" t="str">
        <f>IFERROR(VLOOKUP(C39,Products!$A$2:$G$204,2,FALSE),"")</f>
        <v/>
      </c>
      <c r="E39" s="15"/>
      <c r="F39" s="7">
        <f>IFERROR(VLOOKUP(C39,Products!$A$2:$G$204,6,FALSE),0)</f>
        <v>0</v>
      </c>
      <c r="G39" s="7"/>
      <c r="H39" s="7"/>
      <c r="I39" s="7">
        <f>IF(OR(E39="",F39=""),0,MAX(0,(E39*F39-G39+H39)*IFERROR(VLOOKUP(C39,Products!$A$2:$G$204,7,FALSE),0)))</f>
        <v>0</v>
      </c>
      <c r="J39" s="7"/>
      <c r="K39" s="7">
        <f>IF(OR(E39="",F39=""),0,E39*F39)</f>
        <v>0</v>
      </c>
      <c r="L39" s="7">
        <f>IF(E39="",0,K39-G39+H39-I39-J39)</f>
        <v>0</v>
      </c>
      <c r="M39" s="7">
        <f>IFERROR(E39*VLOOKUP(C39,Products!$A$2:$G$204,4,FALSE),0)</f>
        <v>0</v>
      </c>
      <c r="N39" s="7">
        <f>IFERROR(E39*VLOOKUP(C39,Products!$A$2:$G$204,5,FALSE),0)</f>
        <v>0</v>
      </c>
      <c r="O39" s="7">
        <f>IF(E39="",0,L39-M39-N39)</f>
        <v>0</v>
      </c>
      <c r="P39" s="6"/>
      <c r="Q39" s="6"/>
    </row>
    <row r="40" spans="1:17" x14ac:dyDescent="0.2">
      <c r="A40" s="12"/>
      <c r="B40" s="9"/>
      <c r="C40" s="9"/>
      <c r="D40" s="9" t="str">
        <f>IFERROR(VLOOKUP(C40,Products!$A$2:$G$204,2,FALSE),"")</f>
        <v/>
      </c>
      <c r="E40" s="13"/>
      <c r="F40" s="10">
        <f>IFERROR(VLOOKUP(C40,Products!$A$2:$G$204,6,FALSE),0)</f>
        <v>0</v>
      </c>
      <c r="G40" s="10"/>
      <c r="H40" s="10"/>
      <c r="I40" s="10">
        <f>IF(OR(E40="",F40=""),0,MAX(0,(E40*F40-G40+H40)*IFERROR(VLOOKUP(C40,Products!$A$2:$G$204,7,FALSE),0)))</f>
        <v>0</v>
      </c>
      <c r="J40" s="10"/>
      <c r="K40" s="10">
        <f>IF(OR(E40="",F40=""),0,E40*F40)</f>
        <v>0</v>
      </c>
      <c r="L40" s="10">
        <f>IF(E40="",0,K40-G40+H40-I40-J40)</f>
        <v>0</v>
      </c>
      <c r="M40" s="10">
        <f>IFERROR(E40*VLOOKUP(C40,Products!$A$2:$G$204,4,FALSE),0)</f>
        <v>0</v>
      </c>
      <c r="N40" s="10">
        <f>IFERROR(E40*VLOOKUP(C40,Products!$A$2:$G$204,5,FALSE),0)</f>
        <v>0</v>
      </c>
      <c r="O40" s="10">
        <f>IF(E40="",0,L40-M40-N40)</f>
        <v>0</v>
      </c>
      <c r="P40" s="9"/>
      <c r="Q40" s="9"/>
    </row>
    <row r="41" spans="1:17" x14ac:dyDescent="0.2">
      <c r="A41" s="14"/>
      <c r="B41" s="6"/>
      <c r="C41" s="6"/>
      <c r="D41" s="6" t="str">
        <f>IFERROR(VLOOKUP(C41,Products!$A$2:$G$204,2,FALSE),"")</f>
        <v/>
      </c>
      <c r="E41" s="15"/>
      <c r="F41" s="7">
        <f>IFERROR(VLOOKUP(C41,Products!$A$2:$G$204,6,FALSE),0)</f>
        <v>0</v>
      </c>
      <c r="G41" s="7"/>
      <c r="H41" s="7"/>
      <c r="I41" s="7">
        <f>IF(OR(E41="",F41=""),0,MAX(0,(E41*F41-G41+H41)*IFERROR(VLOOKUP(C41,Products!$A$2:$G$204,7,FALSE),0)))</f>
        <v>0</v>
      </c>
      <c r="J41" s="7"/>
      <c r="K41" s="7">
        <f>IF(OR(E41="",F41=""),0,E41*F41)</f>
        <v>0</v>
      </c>
      <c r="L41" s="7">
        <f>IF(E41="",0,K41-G41+H41-I41-J41)</f>
        <v>0</v>
      </c>
      <c r="M41" s="7">
        <f>IFERROR(E41*VLOOKUP(C41,Products!$A$2:$G$204,4,FALSE),0)</f>
        <v>0</v>
      </c>
      <c r="N41" s="7">
        <f>IFERROR(E41*VLOOKUP(C41,Products!$A$2:$G$204,5,FALSE),0)</f>
        <v>0</v>
      </c>
      <c r="O41" s="7">
        <f>IF(E41="",0,L41-M41-N41)</f>
        <v>0</v>
      </c>
      <c r="P41" s="6"/>
      <c r="Q41" s="6"/>
    </row>
    <row r="42" spans="1:17" x14ac:dyDescent="0.2">
      <c r="A42" s="12"/>
      <c r="B42" s="9"/>
      <c r="C42" s="9"/>
      <c r="D42" s="9" t="str">
        <f>IFERROR(VLOOKUP(C42,Products!$A$2:$G$204,2,FALSE),"")</f>
        <v/>
      </c>
      <c r="E42" s="13"/>
      <c r="F42" s="10">
        <f>IFERROR(VLOOKUP(C42,Products!$A$2:$G$204,6,FALSE),0)</f>
        <v>0</v>
      </c>
      <c r="G42" s="10"/>
      <c r="H42" s="10"/>
      <c r="I42" s="10">
        <f>IF(OR(E42="",F42=""),0,MAX(0,(E42*F42-G42+H42)*IFERROR(VLOOKUP(C42,Products!$A$2:$G$204,7,FALSE),0)))</f>
        <v>0</v>
      </c>
      <c r="J42" s="10"/>
      <c r="K42" s="10">
        <f>IF(OR(E42="",F42=""),0,E42*F42)</f>
        <v>0</v>
      </c>
      <c r="L42" s="10">
        <f>IF(E42="",0,K42-G42+H42-I42-J42)</f>
        <v>0</v>
      </c>
      <c r="M42" s="10">
        <f>IFERROR(E42*VLOOKUP(C42,Products!$A$2:$G$204,4,FALSE),0)</f>
        <v>0</v>
      </c>
      <c r="N42" s="10">
        <f>IFERROR(E42*VLOOKUP(C42,Products!$A$2:$G$204,5,FALSE),0)</f>
        <v>0</v>
      </c>
      <c r="O42" s="10">
        <f>IF(E42="",0,L42-M42-N42)</f>
        <v>0</v>
      </c>
      <c r="P42" s="9"/>
      <c r="Q42" s="9"/>
    </row>
    <row r="43" spans="1:17" x14ac:dyDescent="0.2">
      <c r="A43" s="14"/>
      <c r="B43" s="6"/>
      <c r="C43" s="6"/>
      <c r="D43" s="6" t="str">
        <f>IFERROR(VLOOKUP(C43,Products!$A$2:$G$204,2,FALSE),"")</f>
        <v/>
      </c>
      <c r="E43" s="15"/>
      <c r="F43" s="7">
        <f>IFERROR(VLOOKUP(C43,Products!$A$2:$G$204,6,FALSE),0)</f>
        <v>0</v>
      </c>
      <c r="G43" s="7"/>
      <c r="H43" s="7"/>
      <c r="I43" s="7">
        <f>IF(OR(E43="",F43=""),0,MAX(0,(E43*F43-G43+H43)*IFERROR(VLOOKUP(C43,Products!$A$2:$G$204,7,FALSE),0)))</f>
        <v>0</v>
      </c>
      <c r="J43" s="7"/>
      <c r="K43" s="7">
        <f>IF(OR(E43="",F43=""),0,E43*F43)</f>
        <v>0</v>
      </c>
      <c r="L43" s="7">
        <f>IF(E43="",0,K43-G43+H43-I43-J43)</f>
        <v>0</v>
      </c>
      <c r="M43" s="7">
        <f>IFERROR(E43*VLOOKUP(C43,Products!$A$2:$G$204,4,FALSE),0)</f>
        <v>0</v>
      </c>
      <c r="N43" s="7">
        <f>IFERROR(E43*VLOOKUP(C43,Products!$A$2:$G$204,5,FALSE),0)</f>
        <v>0</v>
      </c>
      <c r="O43" s="7">
        <f>IF(E43="",0,L43-M43-N43)</f>
        <v>0</v>
      </c>
      <c r="P43" s="6"/>
      <c r="Q43" s="6"/>
    </row>
    <row r="44" spans="1:17" x14ac:dyDescent="0.2">
      <c r="A44" s="12"/>
      <c r="B44" s="9"/>
      <c r="C44" s="9"/>
      <c r="D44" s="9" t="str">
        <f>IFERROR(VLOOKUP(C44,Products!$A$2:$G$204,2,FALSE),"")</f>
        <v/>
      </c>
      <c r="E44" s="13"/>
      <c r="F44" s="10">
        <f>IFERROR(VLOOKUP(C44,Products!$A$2:$G$204,6,FALSE),0)</f>
        <v>0</v>
      </c>
      <c r="G44" s="10"/>
      <c r="H44" s="10"/>
      <c r="I44" s="10">
        <f>IF(OR(E44="",F44=""),0,MAX(0,(E44*F44-G44+H44)*IFERROR(VLOOKUP(C44,Products!$A$2:$G$204,7,FALSE),0)))</f>
        <v>0</v>
      </c>
      <c r="J44" s="10"/>
      <c r="K44" s="10">
        <f>IF(OR(E44="",F44=""),0,E44*F44)</f>
        <v>0</v>
      </c>
      <c r="L44" s="10">
        <f>IF(E44="",0,K44-G44+H44-I44-J44)</f>
        <v>0</v>
      </c>
      <c r="M44" s="10">
        <f>IFERROR(E44*VLOOKUP(C44,Products!$A$2:$G$204,4,FALSE),0)</f>
        <v>0</v>
      </c>
      <c r="N44" s="10">
        <f>IFERROR(E44*VLOOKUP(C44,Products!$A$2:$G$204,5,FALSE),0)</f>
        <v>0</v>
      </c>
      <c r="O44" s="10">
        <f>IF(E44="",0,L44-M44-N44)</f>
        <v>0</v>
      </c>
      <c r="P44" s="9"/>
      <c r="Q44" s="9"/>
    </row>
    <row r="45" spans="1:17" x14ac:dyDescent="0.2">
      <c r="A45" s="14"/>
      <c r="B45" s="6"/>
      <c r="C45" s="6"/>
      <c r="D45" s="6" t="str">
        <f>IFERROR(VLOOKUP(C45,Products!$A$2:$G$204,2,FALSE),"")</f>
        <v/>
      </c>
      <c r="E45" s="15"/>
      <c r="F45" s="7">
        <f>IFERROR(VLOOKUP(C45,Products!$A$2:$G$204,6,FALSE),0)</f>
        <v>0</v>
      </c>
      <c r="G45" s="7"/>
      <c r="H45" s="7"/>
      <c r="I45" s="7">
        <f>IF(OR(E45="",F45=""),0,MAX(0,(E45*F45-G45+H45)*IFERROR(VLOOKUP(C45,Products!$A$2:$G$204,7,FALSE),0)))</f>
        <v>0</v>
      </c>
      <c r="J45" s="7"/>
      <c r="K45" s="7">
        <f>IF(OR(E45="",F45=""),0,E45*F45)</f>
        <v>0</v>
      </c>
      <c r="L45" s="7">
        <f>IF(E45="",0,K45-G45+H45-I45-J45)</f>
        <v>0</v>
      </c>
      <c r="M45" s="7">
        <f>IFERROR(E45*VLOOKUP(C45,Products!$A$2:$G$204,4,FALSE),0)</f>
        <v>0</v>
      </c>
      <c r="N45" s="7">
        <f>IFERROR(E45*VLOOKUP(C45,Products!$A$2:$G$204,5,FALSE),0)</f>
        <v>0</v>
      </c>
      <c r="O45" s="7">
        <f>IF(E45="",0,L45-M45-N45)</f>
        <v>0</v>
      </c>
      <c r="P45" s="6"/>
      <c r="Q45" s="6"/>
    </row>
    <row r="46" spans="1:17" x14ac:dyDescent="0.2">
      <c r="A46" s="12"/>
      <c r="B46" s="9"/>
      <c r="C46" s="9"/>
      <c r="D46" s="9" t="str">
        <f>IFERROR(VLOOKUP(C46,Products!$A$2:$G$204,2,FALSE),"")</f>
        <v/>
      </c>
      <c r="E46" s="13"/>
      <c r="F46" s="10">
        <f>IFERROR(VLOOKUP(C46,Products!$A$2:$G$204,6,FALSE),0)</f>
        <v>0</v>
      </c>
      <c r="G46" s="10"/>
      <c r="H46" s="10"/>
      <c r="I46" s="10">
        <f>IF(OR(E46="",F46=""),0,MAX(0,(E46*F46-G46+H46)*IFERROR(VLOOKUP(C46,Products!$A$2:$G$204,7,FALSE),0)))</f>
        <v>0</v>
      </c>
      <c r="J46" s="10"/>
      <c r="K46" s="10">
        <f>IF(OR(E46="",F46=""),0,E46*F46)</f>
        <v>0</v>
      </c>
      <c r="L46" s="10">
        <f>IF(E46="",0,K46-G46+H46-I46-J46)</f>
        <v>0</v>
      </c>
      <c r="M46" s="10">
        <f>IFERROR(E46*VLOOKUP(C46,Products!$A$2:$G$204,4,FALSE),0)</f>
        <v>0</v>
      </c>
      <c r="N46" s="10">
        <f>IFERROR(E46*VLOOKUP(C46,Products!$A$2:$G$204,5,FALSE),0)</f>
        <v>0</v>
      </c>
      <c r="O46" s="10">
        <f>IF(E46="",0,L46-M46-N46)</f>
        <v>0</v>
      </c>
      <c r="P46" s="9"/>
      <c r="Q46" s="9"/>
    </row>
    <row r="47" spans="1:17" x14ac:dyDescent="0.2">
      <c r="A47" s="14"/>
      <c r="B47" s="6"/>
      <c r="C47" s="6"/>
      <c r="D47" s="6" t="str">
        <f>IFERROR(VLOOKUP(C47,Products!$A$2:$G$204,2,FALSE),"")</f>
        <v/>
      </c>
      <c r="E47" s="15"/>
      <c r="F47" s="7">
        <f>IFERROR(VLOOKUP(C47,Products!$A$2:$G$204,6,FALSE),0)</f>
        <v>0</v>
      </c>
      <c r="G47" s="7"/>
      <c r="H47" s="7"/>
      <c r="I47" s="7">
        <f>IF(OR(E47="",F47=""),0,MAX(0,(E47*F47-G47+H47)*IFERROR(VLOOKUP(C47,Products!$A$2:$G$204,7,FALSE),0)))</f>
        <v>0</v>
      </c>
      <c r="J47" s="7"/>
      <c r="K47" s="7">
        <f>IF(OR(E47="",F47=""),0,E47*F47)</f>
        <v>0</v>
      </c>
      <c r="L47" s="7">
        <f>IF(E47="",0,K47-G47+H47-I47-J47)</f>
        <v>0</v>
      </c>
      <c r="M47" s="7">
        <f>IFERROR(E47*VLOOKUP(C47,Products!$A$2:$G$204,4,FALSE),0)</f>
        <v>0</v>
      </c>
      <c r="N47" s="7">
        <f>IFERROR(E47*VLOOKUP(C47,Products!$A$2:$G$204,5,FALSE),0)</f>
        <v>0</v>
      </c>
      <c r="O47" s="7">
        <f>IF(E47="",0,L47-M47-N47)</f>
        <v>0</v>
      </c>
      <c r="P47" s="6"/>
      <c r="Q47" s="6"/>
    </row>
    <row r="48" spans="1:17" x14ac:dyDescent="0.2">
      <c r="A48" s="12"/>
      <c r="B48" s="9"/>
      <c r="C48" s="9"/>
      <c r="D48" s="9" t="str">
        <f>IFERROR(VLOOKUP(C48,Products!$A$2:$G$204,2,FALSE),"")</f>
        <v/>
      </c>
      <c r="E48" s="13"/>
      <c r="F48" s="10">
        <f>IFERROR(VLOOKUP(C48,Products!$A$2:$G$204,6,FALSE),0)</f>
        <v>0</v>
      </c>
      <c r="G48" s="10"/>
      <c r="H48" s="10"/>
      <c r="I48" s="10">
        <f>IF(OR(E48="",F48=""),0,MAX(0,(E48*F48-G48+H48)*IFERROR(VLOOKUP(C48,Products!$A$2:$G$204,7,FALSE),0)))</f>
        <v>0</v>
      </c>
      <c r="J48" s="10"/>
      <c r="K48" s="10">
        <f>IF(OR(E48="",F48=""),0,E48*F48)</f>
        <v>0</v>
      </c>
      <c r="L48" s="10">
        <f>IF(E48="",0,K48-G48+H48-I48-J48)</f>
        <v>0</v>
      </c>
      <c r="M48" s="10">
        <f>IFERROR(E48*VLOOKUP(C48,Products!$A$2:$G$204,4,FALSE),0)</f>
        <v>0</v>
      </c>
      <c r="N48" s="10">
        <f>IFERROR(E48*VLOOKUP(C48,Products!$A$2:$G$204,5,FALSE),0)</f>
        <v>0</v>
      </c>
      <c r="O48" s="10">
        <f>IF(E48="",0,L48-M48-N48)</f>
        <v>0</v>
      </c>
      <c r="P48" s="9"/>
      <c r="Q48" s="9"/>
    </row>
    <row r="49" spans="1:17" x14ac:dyDescent="0.2">
      <c r="A49" s="14"/>
      <c r="B49" s="6"/>
      <c r="C49" s="6"/>
      <c r="D49" s="6" t="str">
        <f>IFERROR(VLOOKUP(C49,Products!$A$2:$G$204,2,FALSE),"")</f>
        <v/>
      </c>
      <c r="E49" s="15"/>
      <c r="F49" s="7">
        <f>IFERROR(VLOOKUP(C49,Products!$A$2:$G$204,6,FALSE),0)</f>
        <v>0</v>
      </c>
      <c r="G49" s="7"/>
      <c r="H49" s="7"/>
      <c r="I49" s="7">
        <f>IF(OR(E49="",F49=""),0,MAX(0,(E49*F49-G49+H49)*IFERROR(VLOOKUP(C49,Products!$A$2:$G$204,7,FALSE),0)))</f>
        <v>0</v>
      </c>
      <c r="J49" s="7"/>
      <c r="K49" s="7">
        <f>IF(OR(E49="",F49=""),0,E49*F49)</f>
        <v>0</v>
      </c>
      <c r="L49" s="7">
        <f>IF(E49="",0,K49-G49+H49-I49-J49)</f>
        <v>0</v>
      </c>
      <c r="M49" s="7">
        <f>IFERROR(E49*VLOOKUP(C49,Products!$A$2:$G$204,4,FALSE),0)</f>
        <v>0</v>
      </c>
      <c r="N49" s="7">
        <f>IFERROR(E49*VLOOKUP(C49,Products!$A$2:$G$204,5,FALSE),0)</f>
        <v>0</v>
      </c>
      <c r="O49" s="7">
        <f>IF(E49="",0,L49-M49-N49)</f>
        <v>0</v>
      </c>
      <c r="P49" s="6"/>
      <c r="Q49" s="6"/>
    </row>
    <row r="50" spans="1:17" x14ac:dyDescent="0.2">
      <c r="A50" s="12"/>
      <c r="B50" s="9"/>
      <c r="C50" s="9"/>
      <c r="D50" s="9" t="str">
        <f>IFERROR(VLOOKUP(C50,Products!$A$2:$G$204,2,FALSE),"")</f>
        <v/>
      </c>
      <c r="E50" s="13"/>
      <c r="F50" s="10">
        <f>IFERROR(VLOOKUP(C50,Products!$A$2:$G$204,6,FALSE),0)</f>
        <v>0</v>
      </c>
      <c r="G50" s="10"/>
      <c r="H50" s="10"/>
      <c r="I50" s="10">
        <f>IF(OR(E50="",F50=""),0,MAX(0,(E50*F50-G50+H50)*IFERROR(VLOOKUP(C50,Products!$A$2:$G$204,7,FALSE),0)))</f>
        <v>0</v>
      </c>
      <c r="J50" s="10"/>
      <c r="K50" s="10">
        <f>IF(OR(E50="",F50=""),0,E50*F50)</f>
        <v>0</v>
      </c>
      <c r="L50" s="10">
        <f>IF(E50="",0,K50-G50+H50-I50-J50)</f>
        <v>0</v>
      </c>
      <c r="M50" s="10">
        <f>IFERROR(E50*VLOOKUP(C50,Products!$A$2:$G$204,4,FALSE),0)</f>
        <v>0</v>
      </c>
      <c r="N50" s="10">
        <f>IFERROR(E50*VLOOKUP(C50,Products!$A$2:$G$204,5,FALSE),0)</f>
        <v>0</v>
      </c>
      <c r="O50" s="10">
        <f>IF(E50="",0,L50-M50-N50)</f>
        <v>0</v>
      </c>
      <c r="P50" s="9"/>
      <c r="Q50" s="9"/>
    </row>
    <row r="51" spans="1:17" x14ac:dyDescent="0.2">
      <c r="A51" s="14"/>
      <c r="B51" s="6"/>
      <c r="C51" s="6"/>
      <c r="D51" s="6" t="str">
        <f>IFERROR(VLOOKUP(C51,Products!$A$2:$G$204,2,FALSE),"")</f>
        <v/>
      </c>
      <c r="E51" s="15"/>
      <c r="F51" s="7">
        <f>IFERROR(VLOOKUP(C51,Products!$A$2:$G$204,6,FALSE),0)</f>
        <v>0</v>
      </c>
      <c r="G51" s="7"/>
      <c r="H51" s="7"/>
      <c r="I51" s="7">
        <f>IF(OR(E51="",F51=""),0,MAX(0,(E51*F51-G51+H51)*IFERROR(VLOOKUP(C51,Products!$A$2:$G$204,7,FALSE),0)))</f>
        <v>0</v>
      </c>
      <c r="J51" s="7"/>
      <c r="K51" s="7">
        <f>IF(OR(E51="",F51=""),0,E51*F51)</f>
        <v>0</v>
      </c>
      <c r="L51" s="7">
        <f>IF(E51="",0,K51-G51+H51-I51-J51)</f>
        <v>0</v>
      </c>
      <c r="M51" s="7">
        <f>IFERROR(E51*VLOOKUP(C51,Products!$A$2:$G$204,4,FALSE),0)</f>
        <v>0</v>
      </c>
      <c r="N51" s="7">
        <f>IFERROR(E51*VLOOKUP(C51,Products!$A$2:$G$204,5,FALSE),0)</f>
        <v>0</v>
      </c>
      <c r="O51" s="7">
        <f>IF(E51="",0,L51-M51-N51)</f>
        <v>0</v>
      </c>
      <c r="P51" s="6"/>
      <c r="Q51" s="6"/>
    </row>
    <row r="52" spans="1:17" x14ac:dyDescent="0.2">
      <c r="A52" s="12"/>
      <c r="B52" s="9"/>
      <c r="C52" s="9"/>
      <c r="D52" s="9" t="str">
        <f>IFERROR(VLOOKUP(C52,Products!$A$2:$G$204,2,FALSE),"")</f>
        <v/>
      </c>
      <c r="E52" s="13"/>
      <c r="F52" s="10">
        <f>IFERROR(VLOOKUP(C52,Products!$A$2:$G$204,6,FALSE),0)</f>
        <v>0</v>
      </c>
      <c r="G52" s="10"/>
      <c r="H52" s="10"/>
      <c r="I52" s="10">
        <f>IF(OR(E52="",F52=""),0,MAX(0,(E52*F52-G52+H52)*IFERROR(VLOOKUP(C52,Products!$A$2:$G$204,7,FALSE),0)))</f>
        <v>0</v>
      </c>
      <c r="J52" s="10"/>
      <c r="K52" s="10">
        <f>IF(OR(E52="",F52=""),0,E52*F52)</f>
        <v>0</v>
      </c>
      <c r="L52" s="10">
        <f>IF(E52="",0,K52-G52+H52-I52-J52)</f>
        <v>0</v>
      </c>
      <c r="M52" s="10">
        <f>IFERROR(E52*VLOOKUP(C52,Products!$A$2:$G$204,4,FALSE),0)</f>
        <v>0</v>
      </c>
      <c r="N52" s="10">
        <f>IFERROR(E52*VLOOKUP(C52,Products!$A$2:$G$204,5,FALSE),0)</f>
        <v>0</v>
      </c>
      <c r="O52" s="10">
        <f>IF(E52="",0,L52-M52-N52)</f>
        <v>0</v>
      </c>
      <c r="P52" s="9"/>
      <c r="Q52" s="9"/>
    </row>
    <row r="53" spans="1:17" x14ac:dyDescent="0.2">
      <c r="A53" s="14"/>
      <c r="B53" s="6"/>
      <c r="C53" s="6"/>
      <c r="D53" s="6" t="str">
        <f>IFERROR(VLOOKUP(C53,Products!$A$2:$G$204,2,FALSE),"")</f>
        <v/>
      </c>
      <c r="E53" s="15"/>
      <c r="F53" s="7">
        <f>IFERROR(VLOOKUP(C53,Products!$A$2:$G$204,6,FALSE),0)</f>
        <v>0</v>
      </c>
      <c r="G53" s="7"/>
      <c r="H53" s="7"/>
      <c r="I53" s="7">
        <f>IF(OR(E53="",F53=""),0,MAX(0,(E53*F53-G53+H53)*IFERROR(VLOOKUP(C53,Products!$A$2:$G$204,7,FALSE),0)))</f>
        <v>0</v>
      </c>
      <c r="J53" s="7"/>
      <c r="K53" s="7">
        <f>IF(OR(E53="",F53=""),0,E53*F53)</f>
        <v>0</v>
      </c>
      <c r="L53" s="7">
        <f>IF(E53="",0,K53-G53+H53-I53-J53)</f>
        <v>0</v>
      </c>
      <c r="M53" s="7">
        <f>IFERROR(E53*VLOOKUP(C53,Products!$A$2:$G$204,4,FALSE),0)</f>
        <v>0</v>
      </c>
      <c r="N53" s="7">
        <f>IFERROR(E53*VLOOKUP(C53,Products!$A$2:$G$204,5,FALSE),0)</f>
        <v>0</v>
      </c>
      <c r="O53" s="7">
        <f>IF(E53="",0,L53-M53-N53)</f>
        <v>0</v>
      </c>
      <c r="P53" s="6"/>
      <c r="Q53" s="6"/>
    </row>
    <row r="54" spans="1:17" x14ac:dyDescent="0.2">
      <c r="A54" s="12"/>
      <c r="B54" s="9"/>
      <c r="C54" s="9"/>
      <c r="D54" s="9" t="str">
        <f>IFERROR(VLOOKUP(C54,Products!$A$2:$G$204,2,FALSE),"")</f>
        <v/>
      </c>
      <c r="E54" s="13"/>
      <c r="F54" s="10">
        <f>IFERROR(VLOOKUP(C54,Products!$A$2:$G$204,6,FALSE),0)</f>
        <v>0</v>
      </c>
      <c r="G54" s="10"/>
      <c r="H54" s="10"/>
      <c r="I54" s="10">
        <f>IF(OR(E54="",F54=""),0,MAX(0,(E54*F54-G54+H54)*IFERROR(VLOOKUP(C54,Products!$A$2:$G$204,7,FALSE),0)))</f>
        <v>0</v>
      </c>
      <c r="J54" s="10"/>
      <c r="K54" s="10">
        <f>IF(OR(E54="",F54=""),0,E54*F54)</f>
        <v>0</v>
      </c>
      <c r="L54" s="10">
        <f>IF(E54="",0,K54-G54+H54-I54-J54)</f>
        <v>0</v>
      </c>
      <c r="M54" s="10">
        <f>IFERROR(E54*VLOOKUP(C54,Products!$A$2:$G$204,4,FALSE),0)</f>
        <v>0</v>
      </c>
      <c r="N54" s="10">
        <f>IFERROR(E54*VLOOKUP(C54,Products!$A$2:$G$204,5,FALSE),0)</f>
        <v>0</v>
      </c>
      <c r="O54" s="10">
        <f>IF(E54="",0,L54-M54-N54)</f>
        <v>0</v>
      </c>
      <c r="P54" s="9"/>
      <c r="Q54" s="9"/>
    </row>
    <row r="55" spans="1:17" x14ac:dyDescent="0.2">
      <c r="A55" s="14"/>
      <c r="B55" s="6"/>
      <c r="C55" s="6"/>
      <c r="D55" s="6" t="str">
        <f>IFERROR(VLOOKUP(C55,Products!$A$2:$G$204,2,FALSE),"")</f>
        <v/>
      </c>
      <c r="E55" s="15"/>
      <c r="F55" s="7">
        <f>IFERROR(VLOOKUP(C55,Products!$A$2:$G$204,6,FALSE),0)</f>
        <v>0</v>
      </c>
      <c r="G55" s="7"/>
      <c r="H55" s="7"/>
      <c r="I55" s="7">
        <f>IF(OR(E55="",F55=""),0,MAX(0,(E55*F55-G55+H55)*IFERROR(VLOOKUP(C55,Products!$A$2:$G$204,7,FALSE),0)))</f>
        <v>0</v>
      </c>
      <c r="J55" s="7"/>
      <c r="K55" s="7">
        <f>IF(OR(E55="",F55=""),0,E55*F55)</f>
        <v>0</v>
      </c>
      <c r="L55" s="7">
        <f>IF(E55="",0,K55-G55+H55-I55-J55)</f>
        <v>0</v>
      </c>
      <c r="M55" s="7">
        <f>IFERROR(E55*VLOOKUP(C55,Products!$A$2:$G$204,4,FALSE),0)</f>
        <v>0</v>
      </c>
      <c r="N55" s="7">
        <f>IFERROR(E55*VLOOKUP(C55,Products!$A$2:$G$204,5,FALSE),0)</f>
        <v>0</v>
      </c>
      <c r="O55" s="7">
        <f>IF(E55="",0,L55-M55-N55)</f>
        <v>0</v>
      </c>
      <c r="P55" s="6"/>
      <c r="Q55" s="6"/>
    </row>
    <row r="56" spans="1:17" x14ac:dyDescent="0.2">
      <c r="A56" s="12"/>
      <c r="B56" s="9"/>
      <c r="C56" s="9"/>
      <c r="D56" s="9" t="str">
        <f>IFERROR(VLOOKUP(C56,Products!$A$2:$G$204,2,FALSE),"")</f>
        <v/>
      </c>
      <c r="E56" s="13"/>
      <c r="F56" s="10">
        <f>IFERROR(VLOOKUP(C56,Products!$A$2:$G$204,6,FALSE),0)</f>
        <v>0</v>
      </c>
      <c r="G56" s="10"/>
      <c r="H56" s="10"/>
      <c r="I56" s="10">
        <f>IF(OR(E56="",F56=""),0,MAX(0,(E56*F56-G56+H56)*IFERROR(VLOOKUP(C56,Products!$A$2:$G$204,7,FALSE),0)))</f>
        <v>0</v>
      </c>
      <c r="J56" s="10"/>
      <c r="K56" s="10">
        <f>IF(OR(E56="",F56=""),0,E56*F56)</f>
        <v>0</v>
      </c>
      <c r="L56" s="10">
        <f>IF(E56="",0,K56-G56+H56-I56-J56)</f>
        <v>0</v>
      </c>
      <c r="M56" s="10">
        <f>IFERROR(E56*VLOOKUP(C56,Products!$A$2:$G$204,4,FALSE),0)</f>
        <v>0</v>
      </c>
      <c r="N56" s="10">
        <f>IFERROR(E56*VLOOKUP(C56,Products!$A$2:$G$204,5,FALSE),0)</f>
        <v>0</v>
      </c>
      <c r="O56" s="10">
        <f>IF(E56="",0,L56-M56-N56)</f>
        <v>0</v>
      </c>
      <c r="P56" s="9"/>
      <c r="Q56" s="9"/>
    </row>
    <row r="57" spans="1:17" x14ac:dyDescent="0.2">
      <c r="A57" s="14"/>
      <c r="B57" s="6"/>
      <c r="C57" s="6"/>
      <c r="D57" s="6" t="str">
        <f>IFERROR(VLOOKUP(C57,Products!$A$2:$G$204,2,FALSE),"")</f>
        <v/>
      </c>
      <c r="E57" s="15"/>
      <c r="F57" s="7">
        <f>IFERROR(VLOOKUP(C57,Products!$A$2:$G$204,6,FALSE),0)</f>
        <v>0</v>
      </c>
      <c r="G57" s="7"/>
      <c r="H57" s="7"/>
      <c r="I57" s="7">
        <f>IF(OR(E57="",F57=""),0,MAX(0,(E57*F57-G57+H57)*IFERROR(VLOOKUP(C57,Products!$A$2:$G$204,7,FALSE),0)))</f>
        <v>0</v>
      </c>
      <c r="J57" s="7"/>
      <c r="K57" s="7">
        <f>IF(OR(E57="",F57=""),0,E57*F57)</f>
        <v>0</v>
      </c>
      <c r="L57" s="7">
        <f>IF(E57="",0,K57-G57+H57-I57-J57)</f>
        <v>0</v>
      </c>
      <c r="M57" s="7">
        <f>IFERROR(E57*VLOOKUP(C57,Products!$A$2:$G$204,4,FALSE),0)</f>
        <v>0</v>
      </c>
      <c r="N57" s="7">
        <f>IFERROR(E57*VLOOKUP(C57,Products!$A$2:$G$204,5,FALSE),0)</f>
        <v>0</v>
      </c>
      <c r="O57" s="7">
        <f>IF(E57="",0,L57-M57-N57)</f>
        <v>0</v>
      </c>
      <c r="P57" s="6"/>
      <c r="Q57" s="6"/>
    </row>
    <row r="58" spans="1:17" x14ac:dyDescent="0.2">
      <c r="A58" s="12"/>
      <c r="B58" s="9"/>
      <c r="C58" s="9"/>
      <c r="D58" s="9" t="str">
        <f>IFERROR(VLOOKUP(C58,Products!$A$2:$G$204,2,FALSE),"")</f>
        <v/>
      </c>
      <c r="E58" s="13"/>
      <c r="F58" s="10">
        <f>IFERROR(VLOOKUP(C58,Products!$A$2:$G$204,6,FALSE),0)</f>
        <v>0</v>
      </c>
      <c r="G58" s="10"/>
      <c r="H58" s="10"/>
      <c r="I58" s="10">
        <f>IF(OR(E58="",F58=""),0,MAX(0,(E58*F58-G58+H58)*IFERROR(VLOOKUP(C58,Products!$A$2:$G$204,7,FALSE),0)))</f>
        <v>0</v>
      </c>
      <c r="J58" s="10"/>
      <c r="K58" s="10">
        <f>IF(OR(E58="",F58=""),0,E58*F58)</f>
        <v>0</v>
      </c>
      <c r="L58" s="10">
        <f>IF(E58="",0,K58-G58+H58-I58-J58)</f>
        <v>0</v>
      </c>
      <c r="M58" s="10">
        <f>IFERROR(E58*VLOOKUP(C58,Products!$A$2:$G$204,4,FALSE),0)</f>
        <v>0</v>
      </c>
      <c r="N58" s="10">
        <f>IFERROR(E58*VLOOKUP(C58,Products!$A$2:$G$204,5,FALSE),0)</f>
        <v>0</v>
      </c>
      <c r="O58" s="10">
        <f>IF(E58="",0,L58-M58-N58)</f>
        <v>0</v>
      </c>
      <c r="P58" s="9"/>
      <c r="Q58" s="9"/>
    </row>
    <row r="59" spans="1:17" x14ac:dyDescent="0.2">
      <c r="A59" s="14"/>
      <c r="B59" s="6"/>
      <c r="C59" s="6"/>
      <c r="D59" s="6" t="str">
        <f>IFERROR(VLOOKUP(C59,Products!$A$2:$G$204,2,FALSE),"")</f>
        <v/>
      </c>
      <c r="E59" s="15"/>
      <c r="F59" s="7">
        <f>IFERROR(VLOOKUP(C59,Products!$A$2:$G$204,6,FALSE),0)</f>
        <v>0</v>
      </c>
      <c r="G59" s="7"/>
      <c r="H59" s="7"/>
      <c r="I59" s="7">
        <f>IF(OR(E59="",F59=""),0,MAX(0,(E59*F59-G59+H59)*IFERROR(VLOOKUP(C59,Products!$A$2:$G$204,7,FALSE),0)))</f>
        <v>0</v>
      </c>
      <c r="J59" s="7"/>
      <c r="K59" s="7">
        <f>IF(OR(E59="",F59=""),0,E59*F59)</f>
        <v>0</v>
      </c>
      <c r="L59" s="7">
        <f>IF(E59="",0,K59-G59+H59-I59-J59)</f>
        <v>0</v>
      </c>
      <c r="M59" s="7">
        <f>IFERROR(E59*VLOOKUP(C59,Products!$A$2:$G$204,4,FALSE),0)</f>
        <v>0</v>
      </c>
      <c r="N59" s="7">
        <f>IFERROR(E59*VLOOKUP(C59,Products!$A$2:$G$204,5,FALSE),0)</f>
        <v>0</v>
      </c>
      <c r="O59" s="7">
        <f>IF(E59="",0,L59-M59-N59)</f>
        <v>0</v>
      </c>
      <c r="P59" s="6"/>
      <c r="Q59" s="6"/>
    </row>
    <row r="60" spans="1:17" x14ac:dyDescent="0.2">
      <c r="A60" s="12"/>
      <c r="B60" s="9"/>
      <c r="C60" s="9"/>
      <c r="D60" s="9" t="str">
        <f>IFERROR(VLOOKUP(C60,Products!$A$2:$G$204,2,FALSE),"")</f>
        <v/>
      </c>
      <c r="E60" s="13"/>
      <c r="F60" s="10">
        <f>IFERROR(VLOOKUP(C60,Products!$A$2:$G$204,6,FALSE),0)</f>
        <v>0</v>
      </c>
      <c r="G60" s="10"/>
      <c r="H60" s="10"/>
      <c r="I60" s="10">
        <f>IF(OR(E60="",F60=""),0,MAX(0,(E60*F60-G60+H60)*IFERROR(VLOOKUP(C60,Products!$A$2:$G$204,7,FALSE),0)))</f>
        <v>0</v>
      </c>
      <c r="J60" s="10"/>
      <c r="K60" s="10">
        <f>IF(OR(E60="",F60=""),0,E60*F60)</f>
        <v>0</v>
      </c>
      <c r="L60" s="10">
        <f>IF(E60="",0,K60-G60+H60-I60-J60)</f>
        <v>0</v>
      </c>
      <c r="M60" s="10">
        <f>IFERROR(E60*VLOOKUP(C60,Products!$A$2:$G$204,4,FALSE),0)</f>
        <v>0</v>
      </c>
      <c r="N60" s="10">
        <f>IFERROR(E60*VLOOKUP(C60,Products!$A$2:$G$204,5,FALSE),0)</f>
        <v>0</v>
      </c>
      <c r="O60" s="10">
        <f>IF(E60="",0,L60-M60-N60)</f>
        <v>0</v>
      </c>
      <c r="P60" s="9"/>
      <c r="Q60" s="9"/>
    </row>
    <row r="61" spans="1:17" x14ac:dyDescent="0.2">
      <c r="A61" s="14"/>
      <c r="B61" s="6"/>
      <c r="C61" s="6"/>
      <c r="D61" s="6" t="str">
        <f>IFERROR(VLOOKUP(C61,Products!$A$2:$G$204,2,FALSE),"")</f>
        <v/>
      </c>
      <c r="E61" s="15"/>
      <c r="F61" s="7">
        <f>IFERROR(VLOOKUP(C61,Products!$A$2:$G$204,6,FALSE),0)</f>
        <v>0</v>
      </c>
      <c r="G61" s="7"/>
      <c r="H61" s="7"/>
      <c r="I61" s="7">
        <f>IF(OR(E61="",F61=""),0,MAX(0,(E61*F61-G61+H61)*IFERROR(VLOOKUP(C61,Products!$A$2:$G$204,7,FALSE),0)))</f>
        <v>0</v>
      </c>
      <c r="J61" s="7"/>
      <c r="K61" s="7">
        <f>IF(OR(E61="",F61=""),0,E61*F61)</f>
        <v>0</v>
      </c>
      <c r="L61" s="7">
        <f>IF(E61="",0,K61-G61+H61-I61-J61)</f>
        <v>0</v>
      </c>
      <c r="M61" s="7">
        <f>IFERROR(E61*VLOOKUP(C61,Products!$A$2:$G$204,4,FALSE),0)</f>
        <v>0</v>
      </c>
      <c r="N61" s="7">
        <f>IFERROR(E61*VLOOKUP(C61,Products!$A$2:$G$204,5,FALSE),0)</f>
        <v>0</v>
      </c>
      <c r="O61" s="7">
        <f>IF(E61="",0,L61-M61-N61)</f>
        <v>0</v>
      </c>
      <c r="P61" s="6"/>
      <c r="Q61" s="6"/>
    </row>
    <row r="62" spans="1:17" x14ac:dyDescent="0.2">
      <c r="A62" s="12"/>
      <c r="B62" s="9"/>
      <c r="C62" s="9"/>
      <c r="D62" s="9" t="str">
        <f>IFERROR(VLOOKUP(C62,Products!$A$2:$G$204,2,FALSE),"")</f>
        <v/>
      </c>
      <c r="E62" s="13"/>
      <c r="F62" s="10">
        <f>IFERROR(VLOOKUP(C62,Products!$A$2:$G$204,6,FALSE),0)</f>
        <v>0</v>
      </c>
      <c r="G62" s="10"/>
      <c r="H62" s="10"/>
      <c r="I62" s="10">
        <f>IF(OR(E62="",F62=""),0,MAX(0,(E62*F62-G62+H62)*IFERROR(VLOOKUP(C62,Products!$A$2:$G$204,7,FALSE),0)))</f>
        <v>0</v>
      </c>
      <c r="J62" s="10"/>
      <c r="K62" s="10">
        <f>IF(OR(E62="",F62=""),0,E62*F62)</f>
        <v>0</v>
      </c>
      <c r="L62" s="10">
        <f>IF(E62="",0,K62-G62+H62-I62-J62)</f>
        <v>0</v>
      </c>
      <c r="M62" s="10">
        <f>IFERROR(E62*VLOOKUP(C62,Products!$A$2:$G$204,4,FALSE),0)</f>
        <v>0</v>
      </c>
      <c r="N62" s="10">
        <f>IFERROR(E62*VLOOKUP(C62,Products!$A$2:$G$204,5,FALSE),0)</f>
        <v>0</v>
      </c>
      <c r="O62" s="10">
        <f>IF(E62="",0,L62-M62-N62)</f>
        <v>0</v>
      </c>
      <c r="P62" s="9"/>
      <c r="Q62" s="9"/>
    </row>
    <row r="63" spans="1:17" x14ac:dyDescent="0.2">
      <c r="A63" s="14"/>
      <c r="B63" s="6"/>
      <c r="C63" s="6"/>
      <c r="D63" s="6" t="str">
        <f>IFERROR(VLOOKUP(C63,Products!$A$2:$G$204,2,FALSE),"")</f>
        <v/>
      </c>
      <c r="E63" s="15"/>
      <c r="F63" s="7">
        <f>IFERROR(VLOOKUP(C63,Products!$A$2:$G$204,6,FALSE),0)</f>
        <v>0</v>
      </c>
      <c r="G63" s="7"/>
      <c r="H63" s="7"/>
      <c r="I63" s="7">
        <f>IF(OR(E63="",F63=""),0,MAX(0,(E63*F63-G63+H63)*IFERROR(VLOOKUP(C63,Products!$A$2:$G$204,7,FALSE),0)))</f>
        <v>0</v>
      </c>
      <c r="J63" s="7"/>
      <c r="K63" s="7">
        <f>IF(OR(E63="",F63=""),0,E63*F63)</f>
        <v>0</v>
      </c>
      <c r="L63" s="7">
        <f>IF(E63="",0,K63-G63+H63-I63-J63)</f>
        <v>0</v>
      </c>
      <c r="M63" s="7">
        <f>IFERROR(E63*VLOOKUP(C63,Products!$A$2:$G$204,4,FALSE),0)</f>
        <v>0</v>
      </c>
      <c r="N63" s="7">
        <f>IFERROR(E63*VLOOKUP(C63,Products!$A$2:$G$204,5,FALSE),0)</f>
        <v>0</v>
      </c>
      <c r="O63" s="7">
        <f>IF(E63="",0,L63-M63-N63)</f>
        <v>0</v>
      </c>
      <c r="P63" s="6"/>
      <c r="Q63" s="6"/>
    </row>
    <row r="64" spans="1:17" x14ac:dyDescent="0.2">
      <c r="A64" s="12"/>
      <c r="B64" s="9"/>
      <c r="C64" s="9"/>
      <c r="D64" s="9" t="str">
        <f>IFERROR(VLOOKUP(C64,Products!$A$2:$G$204,2,FALSE),"")</f>
        <v/>
      </c>
      <c r="E64" s="13"/>
      <c r="F64" s="10">
        <f>IFERROR(VLOOKUP(C64,Products!$A$2:$G$204,6,FALSE),0)</f>
        <v>0</v>
      </c>
      <c r="G64" s="10"/>
      <c r="H64" s="10"/>
      <c r="I64" s="10">
        <f>IF(OR(E64="",F64=""),0,MAX(0,(E64*F64-G64+H64)*IFERROR(VLOOKUP(C64,Products!$A$2:$G$204,7,FALSE),0)))</f>
        <v>0</v>
      </c>
      <c r="J64" s="10"/>
      <c r="K64" s="10">
        <f>IF(OR(E64="",F64=""),0,E64*F64)</f>
        <v>0</v>
      </c>
      <c r="L64" s="10">
        <f>IF(E64="",0,K64-G64+H64-I64-J64)</f>
        <v>0</v>
      </c>
      <c r="M64" s="10">
        <f>IFERROR(E64*VLOOKUP(C64,Products!$A$2:$G$204,4,FALSE),0)</f>
        <v>0</v>
      </c>
      <c r="N64" s="10">
        <f>IFERROR(E64*VLOOKUP(C64,Products!$A$2:$G$204,5,FALSE),0)</f>
        <v>0</v>
      </c>
      <c r="O64" s="10">
        <f>IF(E64="",0,L64-M64-N64)</f>
        <v>0</v>
      </c>
      <c r="P64" s="9"/>
      <c r="Q64" s="9"/>
    </row>
    <row r="65" spans="1:17" x14ac:dyDescent="0.2">
      <c r="A65" s="14"/>
      <c r="B65" s="6"/>
      <c r="C65" s="6"/>
      <c r="D65" s="6" t="str">
        <f>IFERROR(VLOOKUP(C65,Products!$A$2:$G$204,2,FALSE),"")</f>
        <v/>
      </c>
      <c r="E65" s="15"/>
      <c r="F65" s="7">
        <f>IFERROR(VLOOKUP(C65,Products!$A$2:$G$204,6,FALSE),0)</f>
        <v>0</v>
      </c>
      <c r="G65" s="7"/>
      <c r="H65" s="7"/>
      <c r="I65" s="7">
        <f>IF(OR(E65="",F65=""),0,MAX(0,(E65*F65-G65+H65)*IFERROR(VLOOKUP(C65,Products!$A$2:$G$204,7,FALSE),0)))</f>
        <v>0</v>
      </c>
      <c r="J65" s="7"/>
      <c r="K65" s="7">
        <f>IF(OR(E65="",F65=""),0,E65*F65)</f>
        <v>0</v>
      </c>
      <c r="L65" s="7">
        <f>IF(E65="",0,K65-G65+H65-I65-J65)</f>
        <v>0</v>
      </c>
      <c r="M65" s="7">
        <f>IFERROR(E65*VLOOKUP(C65,Products!$A$2:$G$204,4,FALSE),0)</f>
        <v>0</v>
      </c>
      <c r="N65" s="7">
        <f>IFERROR(E65*VLOOKUP(C65,Products!$A$2:$G$204,5,FALSE),0)</f>
        <v>0</v>
      </c>
      <c r="O65" s="7">
        <f>IF(E65="",0,L65-M65-N65)</f>
        <v>0</v>
      </c>
      <c r="P65" s="6"/>
      <c r="Q65" s="6"/>
    </row>
    <row r="66" spans="1:17" x14ac:dyDescent="0.2">
      <c r="A66" s="12"/>
      <c r="B66" s="9"/>
      <c r="C66" s="9"/>
      <c r="D66" s="9" t="str">
        <f>IFERROR(VLOOKUP(C66,Products!$A$2:$G$204,2,FALSE),"")</f>
        <v/>
      </c>
      <c r="E66" s="13"/>
      <c r="F66" s="10">
        <f>IFERROR(VLOOKUP(C66,Products!$A$2:$G$204,6,FALSE),0)</f>
        <v>0</v>
      </c>
      <c r="G66" s="10"/>
      <c r="H66" s="10"/>
      <c r="I66" s="10">
        <f>IF(OR(E66="",F66=""),0,MAX(0,(E66*F66-G66+H66)*IFERROR(VLOOKUP(C66,Products!$A$2:$G$204,7,FALSE),0)))</f>
        <v>0</v>
      </c>
      <c r="J66" s="10"/>
      <c r="K66" s="10">
        <f>IF(OR(E66="",F66=""),0,E66*F66)</f>
        <v>0</v>
      </c>
      <c r="L66" s="10">
        <f>IF(E66="",0,K66-G66+H66-I66-J66)</f>
        <v>0</v>
      </c>
      <c r="M66" s="10">
        <f>IFERROR(E66*VLOOKUP(C66,Products!$A$2:$G$204,4,FALSE),0)</f>
        <v>0</v>
      </c>
      <c r="N66" s="10">
        <f>IFERROR(E66*VLOOKUP(C66,Products!$A$2:$G$204,5,FALSE),0)</f>
        <v>0</v>
      </c>
      <c r="O66" s="10">
        <f>IF(E66="",0,L66-M66-N66)</f>
        <v>0</v>
      </c>
      <c r="P66" s="9"/>
      <c r="Q66" s="9"/>
    </row>
    <row r="67" spans="1:17" x14ac:dyDescent="0.2">
      <c r="A67" s="14"/>
      <c r="B67" s="6"/>
      <c r="C67" s="6"/>
      <c r="D67" s="6" t="str">
        <f>IFERROR(VLOOKUP(C67,Products!$A$2:$G$204,2,FALSE),"")</f>
        <v/>
      </c>
      <c r="E67" s="15"/>
      <c r="F67" s="7">
        <f>IFERROR(VLOOKUP(C67,Products!$A$2:$G$204,6,FALSE),0)</f>
        <v>0</v>
      </c>
      <c r="G67" s="7"/>
      <c r="H67" s="7"/>
      <c r="I67" s="7">
        <f>IF(OR(E67="",F67=""),0,MAX(0,(E67*F67-G67+H67)*IFERROR(VLOOKUP(C67,Products!$A$2:$G$204,7,FALSE),0)))</f>
        <v>0</v>
      </c>
      <c r="J67" s="7"/>
      <c r="K67" s="7">
        <f>IF(OR(E67="",F67=""),0,E67*F67)</f>
        <v>0</v>
      </c>
      <c r="L67" s="7">
        <f>IF(E67="",0,K67-G67+H67-I67-J67)</f>
        <v>0</v>
      </c>
      <c r="M67" s="7">
        <f>IFERROR(E67*VLOOKUP(C67,Products!$A$2:$G$204,4,FALSE),0)</f>
        <v>0</v>
      </c>
      <c r="N67" s="7">
        <f>IFERROR(E67*VLOOKUP(C67,Products!$A$2:$G$204,5,FALSE),0)</f>
        <v>0</v>
      </c>
      <c r="O67" s="7">
        <f>IF(E67="",0,L67-M67-N67)</f>
        <v>0</v>
      </c>
      <c r="P67" s="6"/>
      <c r="Q67" s="6"/>
    </row>
    <row r="68" spans="1:17" x14ac:dyDescent="0.2">
      <c r="A68" s="12"/>
      <c r="B68" s="9"/>
      <c r="C68" s="9"/>
      <c r="D68" s="9" t="str">
        <f>IFERROR(VLOOKUP(C68,Products!$A$2:$G$204,2,FALSE),"")</f>
        <v/>
      </c>
      <c r="E68" s="13"/>
      <c r="F68" s="10">
        <f>IFERROR(VLOOKUP(C68,Products!$A$2:$G$204,6,FALSE),0)</f>
        <v>0</v>
      </c>
      <c r="G68" s="10"/>
      <c r="H68" s="10"/>
      <c r="I68" s="10">
        <f>IF(OR(E68="",F68=""),0,MAX(0,(E68*F68-G68+H68)*IFERROR(VLOOKUP(C68,Products!$A$2:$G$204,7,FALSE),0)))</f>
        <v>0</v>
      </c>
      <c r="J68" s="10"/>
      <c r="K68" s="10">
        <f>IF(OR(E68="",F68=""),0,E68*F68)</f>
        <v>0</v>
      </c>
      <c r="L68" s="10">
        <f>IF(E68="",0,K68-G68+H68-I68-J68)</f>
        <v>0</v>
      </c>
      <c r="M68" s="10">
        <f>IFERROR(E68*VLOOKUP(C68,Products!$A$2:$G$204,4,FALSE),0)</f>
        <v>0</v>
      </c>
      <c r="N68" s="10">
        <f>IFERROR(E68*VLOOKUP(C68,Products!$A$2:$G$204,5,FALSE),0)</f>
        <v>0</v>
      </c>
      <c r="O68" s="10">
        <f>IF(E68="",0,L68-M68-N68)</f>
        <v>0</v>
      </c>
      <c r="P68" s="9"/>
      <c r="Q68" s="9"/>
    </row>
    <row r="69" spans="1:17" x14ac:dyDescent="0.2">
      <c r="A69" s="14"/>
      <c r="B69" s="6"/>
      <c r="C69" s="6"/>
      <c r="D69" s="6" t="str">
        <f>IFERROR(VLOOKUP(C69,Products!$A$2:$G$204,2,FALSE),"")</f>
        <v/>
      </c>
      <c r="E69" s="15"/>
      <c r="F69" s="7">
        <f>IFERROR(VLOOKUP(C69,Products!$A$2:$G$204,6,FALSE),0)</f>
        <v>0</v>
      </c>
      <c r="G69" s="7"/>
      <c r="H69" s="7"/>
      <c r="I69" s="7">
        <f>IF(OR(E69="",F69=""),0,MAX(0,(E69*F69-G69+H69)*IFERROR(VLOOKUP(C69,Products!$A$2:$G$204,7,FALSE),0)))</f>
        <v>0</v>
      </c>
      <c r="J69" s="7"/>
      <c r="K69" s="7">
        <f>IF(OR(E69="",F69=""),0,E69*F69)</f>
        <v>0</v>
      </c>
      <c r="L69" s="7">
        <f>IF(E69="",0,K69-G69+H69-I69-J69)</f>
        <v>0</v>
      </c>
      <c r="M69" s="7">
        <f>IFERROR(E69*VLOOKUP(C69,Products!$A$2:$G$204,4,FALSE),0)</f>
        <v>0</v>
      </c>
      <c r="N69" s="7">
        <f>IFERROR(E69*VLOOKUP(C69,Products!$A$2:$G$204,5,FALSE),0)</f>
        <v>0</v>
      </c>
      <c r="O69" s="7">
        <f>IF(E69="",0,L69-M69-N69)</f>
        <v>0</v>
      </c>
      <c r="P69" s="6"/>
      <c r="Q69" s="6"/>
    </row>
    <row r="70" spans="1:17" x14ac:dyDescent="0.2">
      <c r="A70" s="12"/>
      <c r="B70" s="9"/>
      <c r="C70" s="9"/>
      <c r="D70" s="9" t="str">
        <f>IFERROR(VLOOKUP(C70,Products!$A$2:$G$204,2,FALSE),"")</f>
        <v/>
      </c>
      <c r="E70" s="13"/>
      <c r="F70" s="10">
        <f>IFERROR(VLOOKUP(C70,Products!$A$2:$G$204,6,FALSE),0)</f>
        <v>0</v>
      </c>
      <c r="G70" s="10"/>
      <c r="H70" s="10"/>
      <c r="I70" s="10">
        <f>IF(OR(E70="",F70=""),0,MAX(0,(E70*F70-G70+H70)*IFERROR(VLOOKUP(C70,Products!$A$2:$G$204,7,FALSE),0)))</f>
        <v>0</v>
      </c>
      <c r="J70" s="10"/>
      <c r="K70" s="10">
        <f>IF(OR(E70="",F70=""),0,E70*F70)</f>
        <v>0</v>
      </c>
      <c r="L70" s="10">
        <f>IF(E70="",0,K70-G70+H70-I70-J70)</f>
        <v>0</v>
      </c>
      <c r="M70" s="10">
        <f>IFERROR(E70*VLOOKUP(C70,Products!$A$2:$G$204,4,FALSE),0)</f>
        <v>0</v>
      </c>
      <c r="N70" s="10">
        <f>IFERROR(E70*VLOOKUP(C70,Products!$A$2:$G$204,5,FALSE),0)</f>
        <v>0</v>
      </c>
      <c r="O70" s="10">
        <f>IF(E70="",0,L70-M70-N70)</f>
        <v>0</v>
      </c>
      <c r="P70" s="9"/>
      <c r="Q70" s="9"/>
    </row>
    <row r="71" spans="1:17" x14ac:dyDescent="0.2">
      <c r="A71" s="14"/>
      <c r="B71" s="6"/>
      <c r="C71" s="6"/>
      <c r="D71" s="6" t="str">
        <f>IFERROR(VLOOKUP(C71,Products!$A$2:$G$204,2,FALSE),"")</f>
        <v/>
      </c>
      <c r="E71" s="15"/>
      <c r="F71" s="7">
        <f>IFERROR(VLOOKUP(C71,Products!$A$2:$G$204,6,FALSE),0)</f>
        <v>0</v>
      </c>
      <c r="G71" s="7"/>
      <c r="H71" s="7"/>
      <c r="I71" s="7">
        <f>IF(OR(E71="",F71=""),0,MAX(0,(E71*F71-G71+H71)*IFERROR(VLOOKUP(C71,Products!$A$2:$G$204,7,FALSE),0)))</f>
        <v>0</v>
      </c>
      <c r="J71" s="7"/>
      <c r="K71" s="7">
        <f>IF(OR(E71="",F71=""),0,E71*F71)</f>
        <v>0</v>
      </c>
      <c r="L71" s="7">
        <f>IF(E71="",0,K71-G71+H71-I71-J71)</f>
        <v>0</v>
      </c>
      <c r="M71" s="7">
        <f>IFERROR(E71*VLOOKUP(C71,Products!$A$2:$G$204,4,FALSE),0)</f>
        <v>0</v>
      </c>
      <c r="N71" s="7">
        <f>IFERROR(E71*VLOOKUP(C71,Products!$A$2:$G$204,5,FALSE),0)</f>
        <v>0</v>
      </c>
      <c r="O71" s="7">
        <f>IF(E71="",0,L71-M71-N71)</f>
        <v>0</v>
      </c>
      <c r="P71" s="6"/>
      <c r="Q71" s="6"/>
    </row>
    <row r="72" spans="1:17" x14ac:dyDescent="0.2">
      <c r="A72" s="12"/>
      <c r="B72" s="9"/>
      <c r="C72" s="9"/>
      <c r="D72" s="9" t="str">
        <f>IFERROR(VLOOKUP(C72,Products!$A$2:$G$204,2,FALSE),"")</f>
        <v/>
      </c>
      <c r="E72" s="13"/>
      <c r="F72" s="10">
        <f>IFERROR(VLOOKUP(C72,Products!$A$2:$G$204,6,FALSE),0)</f>
        <v>0</v>
      </c>
      <c r="G72" s="10"/>
      <c r="H72" s="10"/>
      <c r="I72" s="10">
        <f>IF(OR(E72="",F72=""),0,MAX(0,(E72*F72-G72+H72)*IFERROR(VLOOKUP(C72,Products!$A$2:$G$204,7,FALSE),0)))</f>
        <v>0</v>
      </c>
      <c r="J72" s="10"/>
      <c r="K72" s="10">
        <f>IF(OR(E72="",F72=""),0,E72*F72)</f>
        <v>0</v>
      </c>
      <c r="L72" s="10">
        <f>IF(E72="",0,K72-G72+H72-I72-J72)</f>
        <v>0</v>
      </c>
      <c r="M72" s="10">
        <f>IFERROR(E72*VLOOKUP(C72,Products!$A$2:$G$204,4,FALSE),0)</f>
        <v>0</v>
      </c>
      <c r="N72" s="10">
        <f>IFERROR(E72*VLOOKUP(C72,Products!$A$2:$G$204,5,FALSE),0)</f>
        <v>0</v>
      </c>
      <c r="O72" s="10">
        <f>IF(E72="",0,L72-M72-N72)</f>
        <v>0</v>
      </c>
      <c r="P72" s="9"/>
      <c r="Q72" s="9"/>
    </row>
    <row r="73" spans="1:17" x14ac:dyDescent="0.2">
      <c r="A73" s="14"/>
      <c r="B73" s="6"/>
      <c r="C73" s="6"/>
      <c r="D73" s="6" t="str">
        <f>IFERROR(VLOOKUP(C73,Products!$A$2:$G$204,2,FALSE),"")</f>
        <v/>
      </c>
      <c r="E73" s="15"/>
      <c r="F73" s="7">
        <f>IFERROR(VLOOKUP(C73,Products!$A$2:$G$204,6,FALSE),0)</f>
        <v>0</v>
      </c>
      <c r="G73" s="7"/>
      <c r="H73" s="7"/>
      <c r="I73" s="7">
        <f>IF(OR(E73="",F73=""),0,MAX(0,(E73*F73-G73+H73)*IFERROR(VLOOKUP(C73,Products!$A$2:$G$204,7,FALSE),0)))</f>
        <v>0</v>
      </c>
      <c r="J73" s="7"/>
      <c r="K73" s="7">
        <f>IF(OR(E73="",F73=""),0,E73*F73)</f>
        <v>0</v>
      </c>
      <c r="L73" s="7">
        <f>IF(E73="",0,K73-G73+H73-I73-J73)</f>
        <v>0</v>
      </c>
      <c r="M73" s="7">
        <f>IFERROR(E73*VLOOKUP(C73,Products!$A$2:$G$204,4,FALSE),0)</f>
        <v>0</v>
      </c>
      <c r="N73" s="7">
        <f>IFERROR(E73*VLOOKUP(C73,Products!$A$2:$G$204,5,FALSE),0)</f>
        <v>0</v>
      </c>
      <c r="O73" s="7">
        <f>IF(E73="",0,L73-M73-N73)</f>
        <v>0</v>
      </c>
      <c r="P73" s="6"/>
      <c r="Q73" s="6"/>
    </row>
    <row r="74" spans="1:17" x14ac:dyDescent="0.2">
      <c r="A74" s="12"/>
      <c r="B74" s="9"/>
      <c r="C74" s="9"/>
      <c r="D74" s="9" t="str">
        <f>IFERROR(VLOOKUP(C74,Products!$A$2:$G$204,2,FALSE),"")</f>
        <v/>
      </c>
      <c r="E74" s="13"/>
      <c r="F74" s="10">
        <f>IFERROR(VLOOKUP(C74,Products!$A$2:$G$204,6,FALSE),0)</f>
        <v>0</v>
      </c>
      <c r="G74" s="10"/>
      <c r="H74" s="10"/>
      <c r="I74" s="10">
        <f>IF(OR(E74="",F74=""),0,MAX(0,(E74*F74-G74+H74)*IFERROR(VLOOKUP(C74,Products!$A$2:$G$204,7,FALSE),0)))</f>
        <v>0</v>
      </c>
      <c r="J74" s="10"/>
      <c r="K74" s="10">
        <f>IF(OR(E74="",F74=""),0,E74*F74)</f>
        <v>0</v>
      </c>
      <c r="L74" s="10">
        <f>IF(E74="",0,K74-G74+H74-I74-J74)</f>
        <v>0</v>
      </c>
      <c r="M74" s="10">
        <f>IFERROR(E74*VLOOKUP(C74,Products!$A$2:$G$204,4,FALSE),0)</f>
        <v>0</v>
      </c>
      <c r="N74" s="10">
        <f>IFERROR(E74*VLOOKUP(C74,Products!$A$2:$G$204,5,FALSE),0)</f>
        <v>0</v>
      </c>
      <c r="O74" s="10">
        <f>IF(E74="",0,L74-M74-N74)</f>
        <v>0</v>
      </c>
      <c r="P74" s="9"/>
      <c r="Q74" s="9"/>
    </row>
    <row r="75" spans="1:17" x14ac:dyDescent="0.2">
      <c r="A75" s="14"/>
      <c r="B75" s="6"/>
      <c r="C75" s="6"/>
      <c r="D75" s="6" t="str">
        <f>IFERROR(VLOOKUP(C75,Products!$A$2:$G$204,2,FALSE),"")</f>
        <v/>
      </c>
      <c r="E75" s="15"/>
      <c r="F75" s="7">
        <f>IFERROR(VLOOKUP(C75,Products!$A$2:$G$204,6,FALSE),0)</f>
        <v>0</v>
      </c>
      <c r="G75" s="7"/>
      <c r="H75" s="7"/>
      <c r="I75" s="7">
        <f>IF(OR(E75="",F75=""),0,MAX(0,(E75*F75-G75+H75)*IFERROR(VLOOKUP(C75,Products!$A$2:$G$204,7,FALSE),0)))</f>
        <v>0</v>
      </c>
      <c r="J75" s="7"/>
      <c r="K75" s="7">
        <f>IF(OR(E75="",F75=""),0,E75*F75)</f>
        <v>0</v>
      </c>
      <c r="L75" s="7">
        <f>IF(E75="",0,K75-G75+H75-I75-J75)</f>
        <v>0</v>
      </c>
      <c r="M75" s="7">
        <f>IFERROR(E75*VLOOKUP(C75,Products!$A$2:$G$204,4,FALSE),0)</f>
        <v>0</v>
      </c>
      <c r="N75" s="7">
        <f>IFERROR(E75*VLOOKUP(C75,Products!$A$2:$G$204,5,FALSE),0)</f>
        <v>0</v>
      </c>
      <c r="O75" s="7">
        <f>IF(E75="",0,L75-M75-N75)</f>
        <v>0</v>
      </c>
      <c r="P75" s="6"/>
      <c r="Q75" s="6"/>
    </row>
    <row r="76" spans="1:17" x14ac:dyDescent="0.2">
      <c r="A76" s="12"/>
      <c r="B76" s="9"/>
      <c r="C76" s="9"/>
      <c r="D76" s="9" t="str">
        <f>IFERROR(VLOOKUP(C76,Products!$A$2:$G$204,2,FALSE),"")</f>
        <v/>
      </c>
      <c r="E76" s="13"/>
      <c r="F76" s="10">
        <f>IFERROR(VLOOKUP(C76,Products!$A$2:$G$204,6,FALSE),0)</f>
        <v>0</v>
      </c>
      <c r="G76" s="10"/>
      <c r="H76" s="10"/>
      <c r="I76" s="10">
        <f>IF(OR(E76="",F76=""),0,MAX(0,(E76*F76-G76+H76)*IFERROR(VLOOKUP(C76,Products!$A$2:$G$204,7,FALSE),0)))</f>
        <v>0</v>
      </c>
      <c r="J76" s="10"/>
      <c r="K76" s="10">
        <f>IF(OR(E76="",F76=""),0,E76*F76)</f>
        <v>0</v>
      </c>
      <c r="L76" s="10">
        <f>IF(E76="",0,K76-G76+H76-I76-J76)</f>
        <v>0</v>
      </c>
      <c r="M76" s="10">
        <f>IFERROR(E76*VLOOKUP(C76,Products!$A$2:$G$204,4,FALSE),0)</f>
        <v>0</v>
      </c>
      <c r="N76" s="10">
        <f>IFERROR(E76*VLOOKUP(C76,Products!$A$2:$G$204,5,FALSE),0)</f>
        <v>0</v>
      </c>
      <c r="O76" s="10">
        <f>IF(E76="",0,L76-M76-N76)</f>
        <v>0</v>
      </c>
      <c r="P76" s="9"/>
      <c r="Q76" s="9"/>
    </row>
    <row r="77" spans="1:17" x14ac:dyDescent="0.2">
      <c r="A77" s="14"/>
      <c r="B77" s="6"/>
      <c r="C77" s="6"/>
      <c r="D77" s="6" t="str">
        <f>IFERROR(VLOOKUP(C77,Products!$A$2:$G$204,2,FALSE),"")</f>
        <v/>
      </c>
      <c r="E77" s="15"/>
      <c r="F77" s="7">
        <f>IFERROR(VLOOKUP(C77,Products!$A$2:$G$204,6,FALSE),0)</f>
        <v>0</v>
      </c>
      <c r="G77" s="7"/>
      <c r="H77" s="7"/>
      <c r="I77" s="7">
        <f>IF(OR(E77="",F77=""),0,MAX(0,(E77*F77-G77+H77)*IFERROR(VLOOKUP(C77,Products!$A$2:$G$204,7,FALSE),0)))</f>
        <v>0</v>
      </c>
      <c r="J77" s="7"/>
      <c r="K77" s="7">
        <f>IF(OR(E77="",F77=""),0,E77*F77)</f>
        <v>0</v>
      </c>
      <c r="L77" s="7">
        <f>IF(E77="",0,K77-G77+H77-I77-J77)</f>
        <v>0</v>
      </c>
      <c r="M77" s="7">
        <f>IFERROR(E77*VLOOKUP(C77,Products!$A$2:$G$204,4,FALSE),0)</f>
        <v>0</v>
      </c>
      <c r="N77" s="7">
        <f>IFERROR(E77*VLOOKUP(C77,Products!$A$2:$G$204,5,FALSE),0)</f>
        <v>0</v>
      </c>
      <c r="O77" s="7">
        <f>IF(E77="",0,L77-M77-N77)</f>
        <v>0</v>
      </c>
      <c r="P77" s="6"/>
      <c r="Q77" s="6"/>
    </row>
    <row r="78" spans="1:17" x14ac:dyDescent="0.2">
      <c r="A78" s="12"/>
      <c r="B78" s="9"/>
      <c r="C78" s="9"/>
      <c r="D78" s="9" t="str">
        <f>IFERROR(VLOOKUP(C78,Products!$A$2:$G$204,2,FALSE),"")</f>
        <v/>
      </c>
      <c r="E78" s="13"/>
      <c r="F78" s="10">
        <f>IFERROR(VLOOKUP(C78,Products!$A$2:$G$204,6,FALSE),0)</f>
        <v>0</v>
      </c>
      <c r="G78" s="10"/>
      <c r="H78" s="10"/>
      <c r="I78" s="10">
        <f>IF(OR(E78="",F78=""),0,MAX(0,(E78*F78-G78+H78)*IFERROR(VLOOKUP(C78,Products!$A$2:$G$204,7,FALSE),0)))</f>
        <v>0</v>
      </c>
      <c r="J78" s="10"/>
      <c r="K78" s="10">
        <f>IF(OR(E78="",F78=""),0,E78*F78)</f>
        <v>0</v>
      </c>
      <c r="L78" s="10">
        <f>IF(E78="",0,K78-G78+H78-I78-J78)</f>
        <v>0</v>
      </c>
      <c r="M78" s="10">
        <f>IFERROR(E78*VLOOKUP(C78,Products!$A$2:$G$204,4,FALSE),0)</f>
        <v>0</v>
      </c>
      <c r="N78" s="10">
        <f>IFERROR(E78*VLOOKUP(C78,Products!$A$2:$G$204,5,FALSE),0)</f>
        <v>0</v>
      </c>
      <c r="O78" s="10">
        <f>IF(E78="",0,L78-M78-N78)</f>
        <v>0</v>
      </c>
      <c r="P78" s="9"/>
      <c r="Q78" s="9"/>
    </row>
    <row r="79" spans="1:17" x14ac:dyDescent="0.2">
      <c r="A79" s="14"/>
      <c r="B79" s="6"/>
      <c r="C79" s="6"/>
      <c r="D79" s="6" t="str">
        <f>IFERROR(VLOOKUP(C79,Products!$A$2:$G$204,2,FALSE),"")</f>
        <v/>
      </c>
      <c r="E79" s="15"/>
      <c r="F79" s="7">
        <f>IFERROR(VLOOKUP(C79,Products!$A$2:$G$204,6,FALSE),0)</f>
        <v>0</v>
      </c>
      <c r="G79" s="7"/>
      <c r="H79" s="7"/>
      <c r="I79" s="7">
        <f>IF(OR(E79="",F79=""),0,MAX(0,(E79*F79-G79+H79)*IFERROR(VLOOKUP(C79,Products!$A$2:$G$204,7,FALSE),0)))</f>
        <v>0</v>
      </c>
      <c r="J79" s="7"/>
      <c r="K79" s="7">
        <f>IF(OR(E79="",F79=""),0,E79*F79)</f>
        <v>0</v>
      </c>
      <c r="L79" s="7">
        <f>IF(E79="",0,K79-G79+H79-I79-J79)</f>
        <v>0</v>
      </c>
      <c r="M79" s="7">
        <f>IFERROR(E79*VLOOKUP(C79,Products!$A$2:$G$204,4,FALSE),0)</f>
        <v>0</v>
      </c>
      <c r="N79" s="7">
        <f>IFERROR(E79*VLOOKUP(C79,Products!$A$2:$G$204,5,FALSE),0)</f>
        <v>0</v>
      </c>
      <c r="O79" s="7">
        <f>IF(E79="",0,L79-M79-N79)</f>
        <v>0</v>
      </c>
      <c r="P79" s="6"/>
      <c r="Q79" s="6"/>
    </row>
    <row r="80" spans="1:17" x14ac:dyDescent="0.2">
      <c r="A80" s="12"/>
      <c r="B80" s="9"/>
      <c r="C80" s="9"/>
      <c r="D80" s="9" t="str">
        <f>IFERROR(VLOOKUP(C80,Products!$A$2:$G$204,2,FALSE),"")</f>
        <v/>
      </c>
      <c r="E80" s="13"/>
      <c r="F80" s="10">
        <f>IFERROR(VLOOKUP(C80,Products!$A$2:$G$204,6,FALSE),0)</f>
        <v>0</v>
      </c>
      <c r="G80" s="10"/>
      <c r="H80" s="10"/>
      <c r="I80" s="10">
        <f>IF(OR(E80="",F80=""),0,MAX(0,(E80*F80-G80+H80)*IFERROR(VLOOKUP(C80,Products!$A$2:$G$204,7,FALSE),0)))</f>
        <v>0</v>
      </c>
      <c r="J80" s="10"/>
      <c r="K80" s="10">
        <f>IF(OR(E80="",F80=""),0,E80*F80)</f>
        <v>0</v>
      </c>
      <c r="L80" s="10">
        <f>IF(E80="",0,K80-G80+H80-I80-J80)</f>
        <v>0</v>
      </c>
      <c r="M80" s="10">
        <f>IFERROR(E80*VLOOKUP(C80,Products!$A$2:$G$204,4,FALSE),0)</f>
        <v>0</v>
      </c>
      <c r="N80" s="10">
        <f>IFERROR(E80*VLOOKUP(C80,Products!$A$2:$G$204,5,FALSE),0)</f>
        <v>0</v>
      </c>
      <c r="O80" s="10">
        <f>IF(E80="",0,L80-M80-N80)</f>
        <v>0</v>
      </c>
      <c r="P80" s="9"/>
      <c r="Q80" s="9"/>
    </row>
    <row r="81" spans="1:17" x14ac:dyDescent="0.2">
      <c r="A81" s="14"/>
      <c r="B81" s="6"/>
      <c r="C81" s="6"/>
      <c r="D81" s="6" t="str">
        <f>IFERROR(VLOOKUP(C81,Products!$A$2:$G$204,2,FALSE),"")</f>
        <v/>
      </c>
      <c r="E81" s="15"/>
      <c r="F81" s="7">
        <f>IFERROR(VLOOKUP(C81,Products!$A$2:$G$204,6,FALSE),0)</f>
        <v>0</v>
      </c>
      <c r="G81" s="7"/>
      <c r="H81" s="7"/>
      <c r="I81" s="7">
        <f>IF(OR(E81="",F81=""),0,MAX(0,(E81*F81-G81+H81)*IFERROR(VLOOKUP(C81,Products!$A$2:$G$204,7,FALSE),0)))</f>
        <v>0</v>
      </c>
      <c r="J81" s="7"/>
      <c r="K81" s="7">
        <f>IF(OR(E81="",F81=""),0,E81*F81)</f>
        <v>0</v>
      </c>
      <c r="L81" s="7">
        <f>IF(E81="",0,K81-G81+H81-I81-J81)</f>
        <v>0</v>
      </c>
      <c r="M81" s="7">
        <f>IFERROR(E81*VLOOKUP(C81,Products!$A$2:$G$204,4,FALSE),0)</f>
        <v>0</v>
      </c>
      <c r="N81" s="7">
        <f>IFERROR(E81*VLOOKUP(C81,Products!$A$2:$G$204,5,FALSE),0)</f>
        <v>0</v>
      </c>
      <c r="O81" s="7">
        <f>IF(E81="",0,L81-M81-N81)</f>
        <v>0</v>
      </c>
      <c r="P81" s="6"/>
      <c r="Q81" s="6"/>
    </row>
    <row r="82" spans="1:17" x14ac:dyDescent="0.2">
      <c r="A82" s="12"/>
      <c r="B82" s="9"/>
      <c r="C82" s="9"/>
      <c r="D82" s="9" t="str">
        <f>IFERROR(VLOOKUP(C82,Products!$A$2:$G$204,2,FALSE),"")</f>
        <v/>
      </c>
      <c r="E82" s="13"/>
      <c r="F82" s="10">
        <f>IFERROR(VLOOKUP(C82,Products!$A$2:$G$204,6,FALSE),0)</f>
        <v>0</v>
      </c>
      <c r="G82" s="10"/>
      <c r="H82" s="10"/>
      <c r="I82" s="10">
        <f>IF(OR(E82="",F82=""),0,MAX(0,(E82*F82-G82+H82)*IFERROR(VLOOKUP(C82,Products!$A$2:$G$204,7,FALSE),0)))</f>
        <v>0</v>
      </c>
      <c r="J82" s="10"/>
      <c r="K82" s="10">
        <f>IF(OR(E82="",F82=""),0,E82*F82)</f>
        <v>0</v>
      </c>
      <c r="L82" s="10">
        <f>IF(E82="",0,K82-G82+H82-I82-J82)</f>
        <v>0</v>
      </c>
      <c r="M82" s="10">
        <f>IFERROR(E82*VLOOKUP(C82,Products!$A$2:$G$204,4,FALSE),0)</f>
        <v>0</v>
      </c>
      <c r="N82" s="10">
        <f>IFERROR(E82*VLOOKUP(C82,Products!$A$2:$G$204,5,FALSE),0)</f>
        <v>0</v>
      </c>
      <c r="O82" s="10">
        <f>IF(E82="",0,L82-M82-N82)</f>
        <v>0</v>
      </c>
      <c r="P82" s="9"/>
      <c r="Q82" s="9"/>
    </row>
    <row r="83" spans="1:17" x14ac:dyDescent="0.2">
      <c r="A83" s="14"/>
      <c r="B83" s="6"/>
      <c r="C83" s="6"/>
      <c r="D83" s="6" t="str">
        <f>IFERROR(VLOOKUP(C83,Products!$A$2:$G$204,2,FALSE),"")</f>
        <v/>
      </c>
      <c r="E83" s="15"/>
      <c r="F83" s="7">
        <f>IFERROR(VLOOKUP(C83,Products!$A$2:$G$204,6,FALSE),0)</f>
        <v>0</v>
      </c>
      <c r="G83" s="7"/>
      <c r="H83" s="7"/>
      <c r="I83" s="7">
        <f>IF(OR(E83="",F83=""),0,MAX(0,(E83*F83-G83+H83)*IFERROR(VLOOKUP(C83,Products!$A$2:$G$204,7,FALSE),0)))</f>
        <v>0</v>
      </c>
      <c r="J83" s="7"/>
      <c r="K83" s="7">
        <f>IF(OR(E83="",F83=""),0,E83*F83)</f>
        <v>0</v>
      </c>
      <c r="L83" s="7">
        <f>IF(E83="",0,K83-G83+H83-I83-J83)</f>
        <v>0</v>
      </c>
      <c r="M83" s="7">
        <f>IFERROR(E83*VLOOKUP(C83,Products!$A$2:$G$204,4,FALSE),0)</f>
        <v>0</v>
      </c>
      <c r="N83" s="7">
        <f>IFERROR(E83*VLOOKUP(C83,Products!$A$2:$G$204,5,FALSE),0)</f>
        <v>0</v>
      </c>
      <c r="O83" s="7">
        <f>IF(E83="",0,L83-M83-N83)</f>
        <v>0</v>
      </c>
      <c r="P83" s="6"/>
      <c r="Q83" s="6"/>
    </row>
    <row r="84" spans="1:17" x14ac:dyDescent="0.2">
      <c r="A84" s="12"/>
      <c r="B84" s="9"/>
      <c r="C84" s="9"/>
      <c r="D84" s="9" t="str">
        <f>IFERROR(VLOOKUP(C84,Products!$A$2:$G$204,2,FALSE),"")</f>
        <v/>
      </c>
      <c r="E84" s="13"/>
      <c r="F84" s="10">
        <f>IFERROR(VLOOKUP(C84,Products!$A$2:$G$204,6,FALSE),0)</f>
        <v>0</v>
      </c>
      <c r="G84" s="10"/>
      <c r="H84" s="10"/>
      <c r="I84" s="10">
        <f>IF(OR(E84="",F84=""),0,MAX(0,(E84*F84-G84+H84)*IFERROR(VLOOKUP(C84,Products!$A$2:$G$204,7,FALSE),0)))</f>
        <v>0</v>
      </c>
      <c r="J84" s="10"/>
      <c r="K84" s="10">
        <f>IF(OR(E84="",F84=""),0,E84*F84)</f>
        <v>0</v>
      </c>
      <c r="L84" s="10">
        <f>IF(E84="",0,K84-G84+H84-I84-J84)</f>
        <v>0</v>
      </c>
      <c r="M84" s="10">
        <f>IFERROR(E84*VLOOKUP(C84,Products!$A$2:$G$204,4,FALSE),0)</f>
        <v>0</v>
      </c>
      <c r="N84" s="10">
        <f>IFERROR(E84*VLOOKUP(C84,Products!$A$2:$G$204,5,FALSE),0)</f>
        <v>0</v>
      </c>
      <c r="O84" s="10">
        <f>IF(E84="",0,L84-M84-N84)</f>
        <v>0</v>
      </c>
      <c r="P84" s="9"/>
      <c r="Q84" s="9"/>
    </row>
    <row r="85" spans="1:17" x14ac:dyDescent="0.2">
      <c r="A85" s="14"/>
      <c r="B85" s="6"/>
      <c r="C85" s="6"/>
      <c r="D85" s="6" t="str">
        <f>IFERROR(VLOOKUP(C85,Products!$A$2:$G$204,2,FALSE),"")</f>
        <v/>
      </c>
      <c r="E85" s="15"/>
      <c r="F85" s="7">
        <f>IFERROR(VLOOKUP(C85,Products!$A$2:$G$204,6,FALSE),0)</f>
        <v>0</v>
      </c>
      <c r="G85" s="7"/>
      <c r="H85" s="7"/>
      <c r="I85" s="7">
        <f>IF(OR(E85="",F85=""),0,MAX(0,(E85*F85-G85+H85)*IFERROR(VLOOKUP(C85,Products!$A$2:$G$204,7,FALSE),0)))</f>
        <v>0</v>
      </c>
      <c r="J85" s="7"/>
      <c r="K85" s="7">
        <f>IF(OR(E85="",F85=""),0,E85*F85)</f>
        <v>0</v>
      </c>
      <c r="L85" s="7">
        <f>IF(E85="",0,K85-G85+H85-I85-J85)</f>
        <v>0</v>
      </c>
      <c r="M85" s="7">
        <f>IFERROR(E85*VLOOKUP(C85,Products!$A$2:$G$204,4,FALSE),0)</f>
        <v>0</v>
      </c>
      <c r="N85" s="7">
        <f>IFERROR(E85*VLOOKUP(C85,Products!$A$2:$G$204,5,FALSE),0)</f>
        <v>0</v>
      </c>
      <c r="O85" s="7">
        <f>IF(E85="",0,L85-M85-N85)</f>
        <v>0</v>
      </c>
      <c r="P85" s="6"/>
      <c r="Q85" s="6"/>
    </row>
    <row r="86" spans="1:17" x14ac:dyDescent="0.2">
      <c r="A86" s="12"/>
      <c r="B86" s="9"/>
      <c r="C86" s="9"/>
      <c r="D86" s="9" t="str">
        <f>IFERROR(VLOOKUP(C86,Products!$A$2:$G$204,2,FALSE),"")</f>
        <v/>
      </c>
      <c r="E86" s="13"/>
      <c r="F86" s="10">
        <f>IFERROR(VLOOKUP(C86,Products!$A$2:$G$204,6,FALSE),0)</f>
        <v>0</v>
      </c>
      <c r="G86" s="10"/>
      <c r="H86" s="10"/>
      <c r="I86" s="10">
        <f>IF(OR(E86="",F86=""),0,MAX(0,(E86*F86-G86+H86)*IFERROR(VLOOKUP(C86,Products!$A$2:$G$204,7,FALSE),0)))</f>
        <v>0</v>
      </c>
      <c r="J86" s="10"/>
      <c r="K86" s="10">
        <f>IF(OR(E86="",F86=""),0,E86*F86)</f>
        <v>0</v>
      </c>
      <c r="L86" s="10">
        <f>IF(E86="",0,K86-G86+H86-I86-J86)</f>
        <v>0</v>
      </c>
      <c r="M86" s="10">
        <f>IFERROR(E86*VLOOKUP(C86,Products!$A$2:$G$204,4,FALSE),0)</f>
        <v>0</v>
      </c>
      <c r="N86" s="10">
        <f>IFERROR(E86*VLOOKUP(C86,Products!$A$2:$G$204,5,FALSE),0)</f>
        <v>0</v>
      </c>
      <c r="O86" s="10">
        <f>IF(E86="",0,L86-M86-N86)</f>
        <v>0</v>
      </c>
      <c r="P86" s="9"/>
      <c r="Q86" s="9"/>
    </row>
    <row r="87" spans="1:17" x14ac:dyDescent="0.2">
      <c r="A87" s="14"/>
      <c r="B87" s="6"/>
      <c r="C87" s="6"/>
      <c r="D87" s="6" t="str">
        <f>IFERROR(VLOOKUP(C87,Products!$A$2:$G$204,2,FALSE),"")</f>
        <v/>
      </c>
      <c r="E87" s="15"/>
      <c r="F87" s="7">
        <f>IFERROR(VLOOKUP(C87,Products!$A$2:$G$204,6,FALSE),0)</f>
        <v>0</v>
      </c>
      <c r="G87" s="7"/>
      <c r="H87" s="7"/>
      <c r="I87" s="7">
        <f>IF(OR(E87="",F87=""),0,MAX(0,(E87*F87-G87+H87)*IFERROR(VLOOKUP(C87,Products!$A$2:$G$204,7,FALSE),0)))</f>
        <v>0</v>
      </c>
      <c r="J87" s="7"/>
      <c r="K87" s="7">
        <f>IF(OR(E87="",F87=""),0,E87*F87)</f>
        <v>0</v>
      </c>
      <c r="L87" s="7">
        <f>IF(E87="",0,K87-G87+H87-I87-J87)</f>
        <v>0</v>
      </c>
      <c r="M87" s="7">
        <f>IFERROR(E87*VLOOKUP(C87,Products!$A$2:$G$204,4,FALSE),0)</f>
        <v>0</v>
      </c>
      <c r="N87" s="7">
        <f>IFERROR(E87*VLOOKUP(C87,Products!$A$2:$G$204,5,FALSE),0)</f>
        <v>0</v>
      </c>
      <c r="O87" s="7">
        <f>IF(E87="",0,L87-M87-N87)</f>
        <v>0</v>
      </c>
      <c r="P87" s="6"/>
      <c r="Q87" s="6"/>
    </row>
    <row r="88" spans="1:17" x14ac:dyDescent="0.2">
      <c r="A88" s="12"/>
      <c r="B88" s="9"/>
      <c r="C88" s="9"/>
      <c r="D88" s="9" t="str">
        <f>IFERROR(VLOOKUP(C88,Products!$A$2:$G$204,2,FALSE),"")</f>
        <v/>
      </c>
      <c r="E88" s="13"/>
      <c r="F88" s="10">
        <f>IFERROR(VLOOKUP(C88,Products!$A$2:$G$204,6,FALSE),0)</f>
        <v>0</v>
      </c>
      <c r="G88" s="10"/>
      <c r="H88" s="10"/>
      <c r="I88" s="10">
        <f>IF(OR(E88="",F88=""),0,MAX(0,(E88*F88-G88+H88)*IFERROR(VLOOKUP(C88,Products!$A$2:$G$204,7,FALSE),0)))</f>
        <v>0</v>
      </c>
      <c r="J88" s="10"/>
      <c r="K88" s="10">
        <f>IF(OR(E88="",F88=""),0,E88*F88)</f>
        <v>0</v>
      </c>
      <c r="L88" s="10">
        <f>IF(E88="",0,K88-G88+H88-I88-J88)</f>
        <v>0</v>
      </c>
      <c r="M88" s="10">
        <f>IFERROR(E88*VLOOKUP(C88,Products!$A$2:$G$204,4,FALSE),0)</f>
        <v>0</v>
      </c>
      <c r="N88" s="10">
        <f>IFERROR(E88*VLOOKUP(C88,Products!$A$2:$G$204,5,FALSE),0)</f>
        <v>0</v>
      </c>
      <c r="O88" s="10">
        <f>IF(E88="",0,L88-M88-N88)</f>
        <v>0</v>
      </c>
      <c r="P88" s="9"/>
      <c r="Q88" s="9"/>
    </row>
    <row r="89" spans="1:17" x14ac:dyDescent="0.2">
      <c r="A89" s="14"/>
      <c r="B89" s="6"/>
      <c r="C89" s="6"/>
      <c r="D89" s="6" t="str">
        <f>IFERROR(VLOOKUP(C89,Products!$A$2:$G$204,2,FALSE),"")</f>
        <v/>
      </c>
      <c r="E89" s="15"/>
      <c r="F89" s="7">
        <f>IFERROR(VLOOKUP(C89,Products!$A$2:$G$204,6,FALSE),0)</f>
        <v>0</v>
      </c>
      <c r="G89" s="7"/>
      <c r="H89" s="7"/>
      <c r="I89" s="7">
        <f>IF(OR(E89="",F89=""),0,MAX(0,(E89*F89-G89+H89)*IFERROR(VLOOKUP(C89,Products!$A$2:$G$204,7,FALSE),0)))</f>
        <v>0</v>
      </c>
      <c r="J89" s="7"/>
      <c r="K89" s="7">
        <f>IF(OR(E89="",F89=""),0,E89*F89)</f>
        <v>0</v>
      </c>
      <c r="L89" s="7">
        <f>IF(E89="",0,K89-G89+H89-I89-J89)</f>
        <v>0</v>
      </c>
      <c r="M89" s="7">
        <f>IFERROR(E89*VLOOKUP(C89,Products!$A$2:$G$204,4,FALSE),0)</f>
        <v>0</v>
      </c>
      <c r="N89" s="7">
        <f>IFERROR(E89*VLOOKUP(C89,Products!$A$2:$G$204,5,FALSE),0)</f>
        <v>0</v>
      </c>
      <c r="O89" s="7">
        <f>IF(E89="",0,L89-M89-N89)</f>
        <v>0</v>
      </c>
      <c r="P89" s="6"/>
      <c r="Q89" s="6"/>
    </row>
    <row r="90" spans="1:17" x14ac:dyDescent="0.2">
      <c r="A90" s="12"/>
      <c r="B90" s="9"/>
      <c r="C90" s="9"/>
      <c r="D90" s="9" t="str">
        <f>IFERROR(VLOOKUP(C90,Products!$A$2:$G$204,2,FALSE),"")</f>
        <v/>
      </c>
      <c r="E90" s="13"/>
      <c r="F90" s="10">
        <f>IFERROR(VLOOKUP(C90,Products!$A$2:$G$204,6,FALSE),0)</f>
        <v>0</v>
      </c>
      <c r="G90" s="10"/>
      <c r="H90" s="10"/>
      <c r="I90" s="10">
        <f>IF(OR(E90="",F90=""),0,MAX(0,(E90*F90-G90+H90)*IFERROR(VLOOKUP(C90,Products!$A$2:$G$204,7,FALSE),0)))</f>
        <v>0</v>
      </c>
      <c r="J90" s="10"/>
      <c r="K90" s="10">
        <f>IF(OR(E90="",F90=""),0,E90*F90)</f>
        <v>0</v>
      </c>
      <c r="L90" s="10">
        <f>IF(E90="",0,K90-G90+H90-I90-J90)</f>
        <v>0</v>
      </c>
      <c r="M90" s="10">
        <f>IFERROR(E90*VLOOKUP(C90,Products!$A$2:$G$204,4,FALSE),0)</f>
        <v>0</v>
      </c>
      <c r="N90" s="10">
        <f>IFERROR(E90*VLOOKUP(C90,Products!$A$2:$G$204,5,FALSE),0)</f>
        <v>0</v>
      </c>
      <c r="O90" s="10">
        <f>IF(E90="",0,L90-M90-N90)</f>
        <v>0</v>
      </c>
      <c r="P90" s="9"/>
      <c r="Q90" s="9"/>
    </row>
    <row r="91" spans="1:17" x14ac:dyDescent="0.2">
      <c r="A91" s="14"/>
      <c r="B91" s="6"/>
      <c r="C91" s="6"/>
      <c r="D91" s="6" t="str">
        <f>IFERROR(VLOOKUP(C91,Products!$A$2:$G$204,2,FALSE),"")</f>
        <v/>
      </c>
      <c r="E91" s="15"/>
      <c r="F91" s="7">
        <f>IFERROR(VLOOKUP(C91,Products!$A$2:$G$204,6,FALSE),0)</f>
        <v>0</v>
      </c>
      <c r="G91" s="7"/>
      <c r="H91" s="7"/>
      <c r="I91" s="7">
        <f>IF(OR(E91="",F91=""),0,MAX(0,(E91*F91-G91+H91)*IFERROR(VLOOKUP(C91,Products!$A$2:$G$204,7,FALSE),0)))</f>
        <v>0</v>
      </c>
      <c r="J91" s="7"/>
      <c r="K91" s="7">
        <f>IF(OR(E91="",F91=""),0,E91*F91)</f>
        <v>0</v>
      </c>
      <c r="L91" s="7">
        <f>IF(E91="",0,K91-G91+H91-I91-J91)</f>
        <v>0</v>
      </c>
      <c r="M91" s="7">
        <f>IFERROR(E91*VLOOKUP(C91,Products!$A$2:$G$204,4,FALSE),0)</f>
        <v>0</v>
      </c>
      <c r="N91" s="7">
        <f>IFERROR(E91*VLOOKUP(C91,Products!$A$2:$G$204,5,FALSE),0)</f>
        <v>0</v>
      </c>
      <c r="O91" s="7">
        <f>IF(E91="",0,L91-M91-N91)</f>
        <v>0</v>
      </c>
      <c r="P91" s="6"/>
      <c r="Q91" s="6"/>
    </row>
    <row r="92" spans="1:17" x14ac:dyDescent="0.2">
      <c r="A92" s="12"/>
      <c r="B92" s="9"/>
      <c r="C92" s="9"/>
      <c r="D92" s="9" t="str">
        <f>IFERROR(VLOOKUP(C92,Products!$A$2:$G$204,2,FALSE),"")</f>
        <v/>
      </c>
      <c r="E92" s="13"/>
      <c r="F92" s="10">
        <f>IFERROR(VLOOKUP(C92,Products!$A$2:$G$204,6,FALSE),0)</f>
        <v>0</v>
      </c>
      <c r="G92" s="10"/>
      <c r="H92" s="10"/>
      <c r="I92" s="10">
        <f>IF(OR(E92="",F92=""),0,MAX(0,(E92*F92-G92+H92)*IFERROR(VLOOKUP(C92,Products!$A$2:$G$204,7,FALSE),0)))</f>
        <v>0</v>
      </c>
      <c r="J92" s="10"/>
      <c r="K92" s="10">
        <f>IF(OR(E92="",F92=""),0,E92*F92)</f>
        <v>0</v>
      </c>
      <c r="L92" s="10">
        <f>IF(E92="",0,K92-G92+H92-I92-J92)</f>
        <v>0</v>
      </c>
      <c r="M92" s="10">
        <f>IFERROR(E92*VLOOKUP(C92,Products!$A$2:$G$204,4,FALSE),0)</f>
        <v>0</v>
      </c>
      <c r="N92" s="10">
        <f>IFERROR(E92*VLOOKUP(C92,Products!$A$2:$G$204,5,FALSE),0)</f>
        <v>0</v>
      </c>
      <c r="O92" s="10">
        <f>IF(E92="",0,L92-M92-N92)</f>
        <v>0</v>
      </c>
      <c r="P92" s="9"/>
      <c r="Q92" s="9"/>
    </row>
    <row r="93" spans="1:17" x14ac:dyDescent="0.2">
      <c r="A93" s="14"/>
      <c r="B93" s="6"/>
      <c r="C93" s="6"/>
      <c r="D93" s="6" t="str">
        <f>IFERROR(VLOOKUP(C93,Products!$A$2:$G$204,2,FALSE),"")</f>
        <v/>
      </c>
      <c r="E93" s="15"/>
      <c r="F93" s="7">
        <f>IFERROR(VLOOKUP(C93,Products!$A$2:$G$204,6,FALSE),0)</f>
        <v>0</v>
      </c>
      <c r="G93" s="7"/>
      <c r="H93" s="7"/>
      <c r="I93" s="7">
        <f>IF(OR(E93="",F93=""),0,MAX(0,(E93*F93-G93+H93)*IFERROR(VLOOKUP(C93,Products!$A$2:$G$204,7,FALSE),0)))</f>
        <v>0</v>
      </c>
      <c r="J93" s="7"/>
      <c r="K93" s="7">
        <f>IF(OR(E93="",F93=""),0,E93*F93)</f>
        <v>0</v>
      </c>
      <c r="L93" s="7">
        <f>IF(E93="",0,K93-G93+H93-I93-J93)</f>
        <v>0</v>
      </c>
      <c r="M93" s="7">
        <f>IFERROR(E93*VLOOKUP(C93,Products!$A$2:$G$204,4,FALSE),0)</f>
        <v>0</v>
      </c>
      <c r="N93" s="7">
        <f>IFERROR(E93*VLOOKUP(C93,Products!$A$2:$G$204,5,FALSE),0)</f>
        <v>0</v>
      </c>
      <c r="O93" s="7">
        <f>IF(E93="",0,L93-M93-N93)</f>
        <v>0</v>
      </c>
      <c r="P93" s="6"/>
      <c r="Q93" s="6"/>
    </row>
    <row r="94" spans="1:17" x14ac:dyDescent="0.2">
      <c r="A94" s="12"/>
      <c r="B94" s="9"/>
      <c r="C94" s="9"/>
      <c r="D94" s="9" t="str">
        <f>IFERROR(VLOOKUP(C94,Products!$A$2:$G$204,2,FALSE),"")</f>
        <v/>
      </c>
      <c r="E94" s="13"/>
      <c r="F94" s="10">
        <f>IFERROR(VLOOKUP(C94,Products!$A$2:$G$204,6,FALSE),0)</f>
        <v>0</v>
      </c>
      <c r="G94" s="10"/>
      <c r="H94" s="10"/>
      <c r="I94" s="10">
        <f>IF(OR(E94="",F94=""),0,MAX(0,(E94*F94-G94+H94)*IFERROR(VLOOKUP(C94,Products!$A$2:$G$204,7,FALSE),0)))</f>
        <v>0</v>
      </c>
      <c r="J94" s="10"/>
      <c r="K94" s="10">
        <f>IF(OR(E94="",F94=""),0,E94*F94)</f>
        <v>0</v>
      </c>
      <c r="L94" s="10">
        <f>IF(E94="",0,K94-G94+H94-I94-J94)</f>
        <v>0</v>
      </c>
      <c r="M94" s="10">
        <f>IFERROR(E94*VLOOKUP(C94,Products!$A$2:$G$204,4,FALSE),0)</f>
        <v>0</v>
      </c>
      <c r="N94" s="10">
        <f>IFERROR(E94*VLOOKUP(C94,Products!$A$2:$G$204,5,FALSE),0)</f>
        <v>0</v>
      </c>
      <c r="O94" s="10">
        <f>IF(E94="",0,L94-M94-N94)</f>
        <v>0</v>
      </c>
      <c r="P94" s="9"/>
      <c r="Q94" s="9"/>
    </row>
    <row r="95" spans="1:17" x14ac:dyDescent="0.2">
      <c r="A95" s="14"/>
      <c r="B95" s="6"/>
      <c r="C95" s="6"/>
      <c r="D95" s="6" t="str">
        <f>IFERROR(VLOOKUP(C95,Products!$A$2:$G$204,2,FALSE),"")</f>
        <v/>
      </c>
      <c r="E95" s="15"/>
      <c r="F95" s="7">
        <f>IFERROR(VLOOKUP(C95,Products!$A$2:$G$204,6,FALSE),0)</f>
        <v>0</v>
      </c>
      <c r="G95" s="7"/>
      <c r="H95" s="7"/>
      <c r="I95" s="7">
        <f>IF(OR(E95="",F95=""),0,MAX(0,(E95*F95-G95+H95)*IFERROR(VLOOKUP(C95,Products!$A$2:$G$204,7,FALSE),0)))</f>
        <v>0</v>
      </c>
      <c r="J95" s="7"/>
      <c r="K95" s="7">
        <f>IF(OR(E95="",F95=""),0,E95*F95)</f>
        <v>0</v>
      </c>
      <c r="L95" s="7">
        <f>IF(E95="",0,K95-G95+H95-I95-J95)</f>
        <v>0</v>
      </c>
      <c r="M95" s="7">
        <f>IFERROR(E95*VLOOKUP(C95,Products!$A$2:$G$204,4,FALSE),0)</f>
        <v>0</v>
      </c>
      <c r="N95" s="7">
        <f>IFERROR(E95*VLOOKUP(C95,Products!$A$2:$G$204,5,FALSE),0)</f>
        <v>0</v>
      </c>
      <c r="O95" s="7">
        <f>IF(E95="",0,L95-M95-N95)</f>
        <v>0</v>
      </c>
      <c r="P95" s="6"/>
      <c r="Q95" s="6"/>
    </row>
    <row r="96" spans="1:17" x14ac:dyDescent="0.2">
      <c r="A96" s="12"/>
      <c r="B96" s="9"/>
      <c r="C96" s="9"/>
      <c r="D96" s="9" t="str">
        <f>IFERROR(VLOOKUP(C96,Products!$A$2:$G$204,2,FALSE),"")</f>
        <v/>
      </c>
      <c r="E96" s="13"/>
      <c r="F96" s="10">
        <f>IFERROR(VLOOKUP(C96,Products!$A$2:$G$204,6,FALSE),0)</f>
        <v>0</v>
      </c>
      <c r="G96" s="10"/>
      <c r="H96" s="10"/>
      <c r="I96" s="10">
        <f>IF(OR(E96="",F96=""),0,MAX(0,(E96*F96-G96+H96)*IFERROR(VLOOKUP(C96,Products!$A$2:$G$204,7,FALSE),0)))</f>
        <v>0</v>
      </c>
      <c r="J96" s="10"/>
      <c r="K96" s="10">
        <f>IF(OR(E96="",F96=""),0,E96*F96)</f>
        <v>0</v>
      </c>
      <c r="L96" s="10">
        <f>IF(E96="",0,K96-G96+H96-I96-J96)</f>
        <v>0</v>
      </c>
      <c r="M96" s="10">
        <f>IFERROR(E96*VLOOKUP(C96,Products!$A$2:$G$204,4,FALSE),0)</f>
        <v>0</v>
      </c>
      <c r="N96" s="10">
        <f>IFERROR(E96*VLOOKUP(C96,Products!$A$2:$G$204,5,FALSE),0)</f>
        <v>0</v>
      </c>
      <c r="O96" s="10">
        <f>IF(E96="",0,L96-M96-N96)</f>
        <v>0</v>
      </c>
      <c r="P96" s="9"/>
      <c r="Q96" s="9"/>
    </row>
    <row r="97" spans="1:17" x14ac:dyDescent="0.2">
      <c r="A97" s="14"/>
      <c r="B97" s="6"/>
      <c r="C97" s="6"/>
      <c r="D97" s="6" t="str">
        <f>IFERROR(VLOOKUP(C97,Products!$A$2:$G$204,2,FALSE),"")</f>
        <v/>
      </c>
      <c r="E97" s="15"/>
      <c r="F97" s="7">
        <f>IFERROR(VLOOKUP(C97,Products!$A$2:$G$204,6,FALSE),0)</f>
        <v>0</v>
      </c>
      <c r="G97" s="7"/>
      <c r="H97" s="7"/>
      <c r="I97" s="7">
        <f>IF(OR(E97="",F97=""),0,MAX(0,(E97*F97-G97+H97)*IFERROR(VLOOKUP(C97,Products!$A$2:$G$204,7,FALSE),0)))</f>
        <v>0</v>
      </c>
      <c r="J97" s="7"/>
      <c r="K97" s="7">
        <f>IF(OR(E97="",F97=""),0,E97*F97)</f>
        <v>0</v>
      </c>
      <c r="L97" s="7">
        <f>IF(E97="",0,K97-G97+H97-I97-J97)</f>
        <v>0</v>
      </c>
      <c r="M97" s="7">
        <f>IFERROR(E97*VLOOKUP(C97,Products!$A$2:$G$204,4,FALSE),0)</f>
        <v>0</v>
      </c>
      <c r="N97" s="7">
        <f>IFERROR(E97*VLOOKUP(C97,Products!$A$2:$G$204,5,FALSE),0)</f>
        <v>0</v>
      </c>
      <c r="O97" s="7">
        <f>IF(E97="",0,L97-M97-N97)</f>
        <v>0</v>
      </c>
      <c r="P97" s="6"/>
      <c r="Q97" s="6"/>
    </row>
    <row r="98" spans="1:17" x14ac:dyDescent="0.2">
      <c r="A98" s="12"/>
      <c r="B98" s="9"/>
      <c r="C98" s="9"/>
      <c r="D98" s="9" t="str">
        <f>IFERROR(VLOOKUP(C98,Products!$A$2:$G$204,2,FALSE),"")</f>
        <v/>
      </c>
      <c r="E98" s="13"/>
      <c r="F98" s="10">
        <f>IFERROR(VLOOKUP(C98,Products!$A$2:$G$204,6,FALSE),0)</f>
        <v>0</v>
      </c>
      <c r="G98" s="10"/>
      <c r="H98" s="10"/>
      <c r="I98" s="10">
        <f>IF(OR(E98="",F98=""),0,MAX(0,(E98*F98-G98+H98)*IFERROR(VLOOKUP(C98,Products!$A$2:$G$204,7,FALSE),0)))</f>
        <v>0</v>
      </c>
      <c r="J98" s="10"/>
      <c r="K98" s="10">
        <f>IF(OR(E98="",F98=""),0,E98*F98)</f>
        <v>0</v>
      </c>
      <c r="L98" s="10">
        <f>IF(E98="",0,K98-G98+H98-I98-J98)</f>
        <v>0</v>
      </c>
      <c r="M98" s="10">
        <f>IFERROR(E98*VLOOKUP(C98,Products!$A$2:$G$204,4,FALSE),0)</f>
        <v>0</v>
      </c>
      <c r="N98" s="10">
        <f>IFERROR(E98*VLOOKUP(C98,Products!$A$2:$G$204,5,FALSE),0)</f>
        <v>0</v>
      </c>
      <c r="O98" s="10">
        <f>IF(E98="",0,L98-M98-N98)</f>
        <v>0</v>
      </c>
      <c r="P98" s="9"/>
      <c r="Q98" s="9"/>
    </row>
    <row r="99" spans="1:17" x14ac:dyDescent="0.2">
      <c r="A99" s="14"/>
      <c r="B99" s="6"/>
      <c r="C99" s="6"/>
      <c r="D99" s="6" t="str">
        <f>IFERROR(VLOOKUP(C99,Products!$A$2:$G$204,2,FALSE),"")</f>
        <v/>
      </c>
      <c r="E99" s="15"/>
      <c r="F99" s="7">
        <f>IFERROR(VLOOKUP(C99,Products!$A$2:$G$204,6,FALSE),0)</f>
        <v>0</v>
      </c>
      <c r="G99" s="7"/>
      <c r="H99" s="7"/>
      <c r="I99" s="7">
        <f>IF(OR(E99="",F99=""),0,MAX(0,(E99*F99-G99+H99)*IFERROR(VLOOKUP(C99,Products!$A$2:$G$204,7,FALSE),0)))</f>
        <v>0</v>
      </c>
      <c r="J99" s="7"/>
      <c r="K99" s="7">
        <f>IF(OR(E99="",F99=""),0,E99*F99)</f>
        <v>0</v>
      </c>
      <c r="L99" s="7">
        <f>IF(E99="",0,K99-G99+H99-I99-J99)</f>
        <v>0</v>
      </c>
      <c r="M99" s="7">
        <f>IFERROR(E99*VLOOKUP(C99,Products!$A$2:$G$204,4,FALSE),0)</f>
        <v>0</v>
      </c>
      <c r="N99" s="7">
        <f>IFERROR(E99*VLOOKUP(C99,Products!$A$2:$G$204,5,FALSE),0)</f>
        <v>0</v>
      </c>
      <c r="O99" s="7">
        <f>IF(E99="",0,L99-M99-N99)</f>
        <v>0</v>
      </c>
      <c r="P99" s="6"/>
      <c r="Q99" s="6"/>
    </row>
    <row r="100" spans="1:17" x14ac:dyDescent="0.2">
      <c r="A100" s="12"/>
      <c r="B100" s="9"/>
      <c r="C100" s="9"/>
      <c r="D100" s="9" t="str">
        <f>IFERROR(VLOOKUP(C100,Products!$A$2:$G$204,2,FALSE),"")</f>
        <v/>
      </c>
      <c r="E100" s="13"/>
      <c r="F100" s="10">
        <f>IFERROR(VLOOKUP(C100,Products!$A$2:$G$204,6,FALSE),0)</f>
        <v>0</v>
      </c>
      <c r="G100" s="10"/>
      <c r="H100" s="10"/>
      <c r="I100" s="10">
        <f>IF(OR(E100="",F100=""),0,MAX(0,(E100*F100-G100+H100)*IFERROR(VLOOKUP(C100,Products!$A$2:$G$204,7,FALSE),0)))</f>
        <v>0</v>
      </c>
      <c r="J100" s="10"/>
      <c r="K100" s="10">
        <f>IF(OR(E100="",F100=""),0,E100*F100)</f>
        <v>0</v>
      </c>
      <c r="L100" s="10">
        <f>IF(E100="",0,K100-G100+H100-I100-J100)</f>
        <v>0</v>
      </c>
      <c r="M100" s="10">
        <f>IFERROR(E100*VLOOKUP(C100,Products!$A$2:$G$204,4,FALSE),0)</f>
        <v>0</v>
      </c>
      <c r="N100" s="10">
        <f>IFERROR(E100*VLOOKUP(C100,Products!$A$2:$G$204,5,FALSE),0)</f>
        <v>0</v>
      </c>
      <c r="O100" s="10">
        <f>IF(E100="",0,L100-M100-N100)</f>
        <v>0</v>
      </c>
      <c r="P100" s="9"/>
      <c r="Q100" s="9"/>
    </row>
    <row r="101" spans="1:17" x14ac:dyDescent="0.2">
      <c r="A101" s="14"/>
      <c r="B101" s="6"/>
      <c r="C101" s="6"/>
      <c r="D101" s="6" t="str">
        <f>IFERROR(VLOOKUP(C101,Products!$A$2:$G$204,2,FALSE),"")</f>
        <v/>
      </c>
      <c r="E101" s="15"/>
      <c r="F101" s="7">
        <f>IFERROR(VLOOKUP(C101,Products!$A$2:$G$204,6,FALSE),0)</f>
        <v>0</v>
      </c>
      <c r="G101" s="7"/>
      <c r="H101" s="7"/>
      <c r="I101" s="7">
        <f>IF(OR(E101="",F101=""),0,MAX(0,(E101*F101-G101+H101)*IFERROR(VLOOKUP(C101,Products!$A$2:$G$204,7,FALSE),0)))</f>
        <v>0</v>
      </c>
      <c r="J101" s="7"/>
      <c r="K101" s="7">
        <f>IF(OR(E101="",F101=""),0,E101*F101)</f>
        <v>0</v>
      </c>
      <c r="L101" s="7">
        <f>IF(E101="",0,K101-G101+H101-I101-J101)</f>
        <v>0</v>
      </c>
      <c r="M101" s="7">
        <f>IFERROR(E101*VLOOKUP(C101,Products!$A$2:$G$204,4,FALSE),0)</f>
        <v>0</v>
      </c>
      <c r="N101" s="7">
        <f>IFERROR(E101*VLOOKUP(C101,Products!$A$2:$G$204,5,FALSE),0)</f>
        <v>0</v>
      </c>
      <c r="O101" s="7">
        <f>IF(E101="",0,L101-M101-N101)</f>
        <v>0</v>
      </c>
      <c r="P101" s="6"/>
      <c r="Q101" s="6"/>
    </row>
    <row r="102" spans="1:17" x14ac:dyDescent="0.2">
      <c r="A102" s="12"/>
      <c r="B102" s="9"/>
      <c r="C102" s="9"/>
      <c r="D102" s="9" t="str">
        <f>IFERROR(VLOOKUP(C102,Products!$A$2:$G$204,2,FALSE),"")</f>
        <v/>
      </c>
      <c r="E102" s="13"/>
      <c r="F102" s="10">
        <f>IFERROR(VLOOKUP(C102,Products!$A$2:$G$204,6,FALSE),0)</f>
        <v>0</v>
      </c>
      <c r="G102" s="10"/>
      <c r="H102" s="10"/>
      <c r="I102" s="10">
        <f>IF(OR(E102="",F102=""),0,MAX(0,(E102*F102-G102+H102)*IFERROR(VLOOKUP(C102,Products!$A$2:$G$204,7,FALSE),0)))</f>
        <v>0</v>
      </c>
      <c r="J102" s="10"/>
      <c r="K102" s="10">
        <f>IF(OR(E102="",F102=""),0,E102*F102)</f>
        <v>0</v>
      </c>
      <c r="L102" s="10">
        <f>IF(E102="",0,K102-G102+H102-I102-J102)</f>
        <v>0</v>
      </c>
      <c r="M102" s="10">
        <f>IFERROR(E102*VLOOKUP(C102,Products!$A$2:$G$204,4,FALSE),0)</f>
        <v>0</v>
      </c>
      <c r="N102" s="10">
        <f>IFERROR(E102*VLOOKUP(C102,Products!$A$2:$G$204,5,FALSE),0)</f>
        <v>0</v>
      </c>
      <c r="O102" s="10">
        <f>IF(E102="",0,L102-M102-N102)</f>
        <v>0</v>
      </c>
      <c r="P102" s="9"/>
      <c r="Q102" s="9"/>
    </row>
    <row r="103" spans="1:17" x14ac:dyDescent="0.2">
      <c r="A103" s="14"/>
      <c r="B103" s="6"/>
      <c r="C103" s="6"/>
      <c r="D103" s="6" t="str">
        <f>IFERROR(VLOOKUP(C103,Products!$A$2:$G$204,2,FALSE),"")</f>
        <v/>
      </c>
      <c r="E103" s="15"/>
      <c r="F103" s="7">
        <f>IFERROR(VLOOKUP(C103,Products!$A$2:$G$204,6,FALSE),0)</f>
        <v>0</v>
      </c>
      <c r="G103" s="7"/>
      <c r="H103" s="7"/>
      <c r="I103" s="7">
        <f>IF(OR(E103="",F103=""),0,MAX(0,(E103*F103-G103+H103)*IFERROR(VLOOKUP(C103,Products!$A$2:$G$204,7,FALSE),0)))</f>
        <v>0</v>
      </c>
      <c r="J103" s="7"/>
      <c r="K103" s="7">
        <f>IF(OR(E103="",F103=""),0,E103*F103)</f>
        <v>0</v>
      </c>
      <c r="L103" s="7">
        <f>IF(E103="",0,K103-G103+H103-I103-J103)</f>
        <v>0</v>
      </c>
      <c r="M103" s="7">
        <f>IFERROR(E103*VLOOKUP(C103,Products!$A$2:$G$204,4,FALSE),0)</f>
        <v>0</v>
      </c>
      <c r="N103" s="7">
        <f>IFERROR(E103*VLOOKUP(C103,Products!$A$2:$G$204,5,FALSE),0)</f>
        <v>0</v>
      </c>
      <c r="O103" s="7">
        <f>IF(E103="",0,L103-M103-N103)</f>
        <v>0</v>
      </c>
      <c r="P103" s="6"/>
      <c r="Q103" s="6"/>
    </row>
    <row r="104" spans="1:17" x14ac:dyDescent="0.2">
      <c r="A104" s="12"/>
      <c r="B104" s="9"/>
      <c r="C104" s="9"/>
      <c r="D104" s="9" t="str">
        <f>IFERROR(VLOOKUP(C104,Products!$A$2:$G$204,2,FALSE),"")</f>
        <v/>
      </c>
      <c r="E104" s="13"/>
      <c r="F104" s="10">
        <f>IFERROR(VLOOKUP(C104,Products!$A$2:$G$204,6,FALSE),0)</f>
        <v>0</v>
      </c>
      <c r="G104" s="10"/>
      <c r="H104" s="10"/>
      <c r="I104" s="10">
        <f>IF(OR(E104="",F104=""),0,MAX(0,(E104*F104-G104+H104)*IFERROR(VLOOKUP(C104,Products!$A$2:$G$204,7,FALSE),0)))</f>
        <v>0</v>
      </c>
      <c r="J104" s="10"/>
      <c r="K104" s="10">
        <f>IF(OR(E104="",F104=""),0,E104*F104)</f>
        <v>0</v>
      </c>
      <c r="L104" s="10">
        <f>IF(E104="",0,K104-G104+H104-I104-J104)</f>
        <v>0</v>
      </c>
      <c r="M104" s="10">
        <f>IFERROR(E104*VLOOKUP(C104,Products!$A$2:$G$204,4,FALSE),0)</f>
        <v>0</v>
      </c>
      <c r="N104" s="10">
        <f>IFERROR(E104*VLOOKUP(C104,Products!$A$2:$G$204,5,FALSE),0)</f>
        <v>0</v>
      </c>
      <c r="O104" s="10">
        <f>IF(E104="",0,L104-M104-N104)</f>
        <v>0</v>
      </c>
      <c r="P104" s="9"/>
      <c r="Q104" s="9"/>
    </row>
    <row r="105" spans="1:17" x14ac:dyDescent="0.2">
      <c r="A105" s="14"/>
      <c r="B105" s="6"/>
      <c r="C105" s="6"/>
      <c r="D105" s="6" t="str">
        <f>IFERROR(VLOOKUP(C105,Products!$A$2:$G$204,2,FALSE),"")</f>
        <v/>
      </c>
      <c r="E105" s="15"/>
      <c r="F105" s="7">
        <f>IFERROR(VLOOKUP(C105,Products!$A$2:$G$204,6,FALSE),0)</f>
        <v>0</v>
      </c>
      <c r="G105" s="7"/>
      <c r="H105" s="7"/>
      <c r="I105" s="7">
        <f>IF(OR(E105="",F105=""),0,MAX(0,(E105*F105-G105+H105)*IFERROR(VLOOKUP(C105,Products!$A$2:$G$204,7,FALSE),0)))</f>
        <v>0</v>
      </c>
      <c r="J105" s="7"/>
      <c r="K105" s="7">
        <f>IF(OR(E105="",F105=""),0,E105*F105)</f>
        <v>0</v>
      </c>
      <c r="L105" s="7">
        <f>IF(E105="",0,K105-G105+H105-I105-J105)</f>
        <v>0</v>
      </c>
      <c r="M105" s="7">
        <f>IFERROR(E105*VLOOKUP(C105,Products!$A$2:$G$204,4,FALSE),0)</f>
        <v>0</v>
      </c>
      <c r="N105" s="7">
        <f>IFERROR(E105*VLOOKUP(C105,Products!$A$2:$G$204,5,FALSE),0)</f>
        <v>0</v>
      </c>
      <c r="O105" s="7">
        <f>IF(E105="",0,L105-M105-N105)</f>
        <v>0</v>
      </c>
      <c r="P105" s="6"/>
      <c r="Q105" s="6"/>
    </row>
    <row r="106" spans="1:17" x14ac:dyDescent="0.2">
      <c r="A106" s="12"/>
      <c r="B106" s="9"/>
      <c r="C106" s="9"/>
      <c r="D106" s="9" t="str">
        <f>IFERROR(VLOOKUP(C106,Products!$A$2:$G$204,2,FALSE),"")</f>
        <v/>
      </c>
      <c r="E106" s="13"/>
      <c r="F106" s="10">
        <f>IFERROR(VLOOKUP(C106,Products!$A$2:$G$204,6,FALSE),0)</f>
        <v>0</v>
      </c>
      <c r="G106" s="10"/>
      <c r="H106" s="10"/>
      <c r="I106" s="10">
        <f>IF(OR(E106="",F106=""),0,MAX(0,(E106*F106-G106+H106)*IFERROR(VLOOKUP(C106,Products!$A$2:$G$204,7,FALSE),0)))</f>
        <v>0</v>
      </c>
      <c r="J106" s="10"/>
      <c r="K106" s="10">
        <f>IF(OR(E106="",F106=""),0,E106*F106)</f>
        <v>0</v>
      </c>
      <c r="L106" s="10">
        <f>IF(E106="",0,K106-G106+H106-I106-J106)</f>
        <v>0</v>
      </c>
      <c r="M106" s="10">
        <f>IFERROR(E106*VLOOKUP(C106,Products!$A$2:$G$204,4,FALSE),0)</f>
        <v>0</v>
      </c>
      <c r="N106" s="10">
        <f>IFERROR(E106*VLOOKUP(C106,Products!$A$2:$G$204,5,FALSE),0)</f>
        <v>0</v>
      </c>
      <c r="O106" s="10">
        <f>IF(E106="",0,L106-M106-N106)</f>
        <v>0</v>
      </c>
      <c r="P106" s="9"/>
      <c r="Q106" s="9"/>
    </row>
    <row r="107" spans="1:17" x14ac:dyDescent="0.2">
      <c r="A107" s="14"/>
      <c r="B107" s="6"/>
      <c r="C107" s="6"/>
      <c r="D107" s="6" t="str">
        <f>IFERROR(VLOOKUP(C107,Products!$A$2:$G$204,2,FALSE),"")</f>
        <v/>
      </c>
      <c r="E107" s="15"/>
      <c r="F107" s="7">
        <f>IFERROR(VLOOKUP(C107,Products!$A$2:$G$204,6,FALSE),0)</f>
        <v>0</v>
      </c>
      <c r="G107" s="7"/>
      <c r="H107" s="7"/>
      <c r="I107" s="7">
        <f>IF(OR(E107="",F107=""),0,MAX(0,(E107*F107-G107+H107)*IFERROR(VLOOKUP(C107,Products!$A$2:$G$204,7,FALSE),0)))</f>
        <v>0</v>
      </c>
      <c r="J107" s="7"/>
      <c r="K107" s="7">
        <f>IF(OR(E107="",F107=""),0,E107*F107)</f>
        <v>0</v>
      </c>
      <c r="L107" s="7">
        <f>IF(E107="",0,K107-G107+H107-I107-J107)</f>
        <v>0</v>
      </c>
      <c r="M107" s="7">
        <f>IFERROR(E107*VLOOKUP(C107,Products!$A$2:$G$204,4,FALSE),0)</f>
        <v>0</v>
      </c>
      <c r="N107" s="7">
        <f>IFERROR(E107*VLOOKUP(C107,Products!$A$2:$G$204,5,FALSE),0)</f>
        <v>0</v>
      </c>
      <c r="O107" s="7">
        <f>IF(E107="",0,L107-M107-N107)</f>
        <v>0</v>
      </c>
      <c r="P107" s="6"/>
      <c r="Q107" s="6"/>
    </row>
    <row r="108" spans="1:17" x14ac:dyDescent="0.2">
      <c r="A108" s="12"/>
      <c r="B108" s="9"/>
      <c r="C108" s="9"/>
      <c r="D108" s="9" t="str">
        <f>IFERROR(VLOOKUP(C108,Products!$A$2:$G$204,2,FALSE),"")</f>
        <v/>
      </c>
      <c r="E108" s="13"/>
      <c r="F108" s="10">
        <f>IFERROR(VLOOKUP(C108,Products!$A$2:$G$204,6,FALSE),0)</f>
        <v>0</v>
      </c>
      <c r="G108" s="10"/>
      <c r="H108" s="10"/>
      <c r="I108" s="10">
        <f>IF(OR(E108="",F108=""),0,MAX(0,(E108*F108-G108+H108)*IFERROR(VLOOKUP(C108,Products!$A$2:$G$204,7,FALSE),0)))</f>
        <v>0</v>
      </c>
      <c r="J108" s="10"/>
      <c r="K108" s="10">
        <f>IF(OR(E108="",F108=""),0,E108*F108)</f>
        <v>0</v>
      </c>
      <c r="L108" s="10">
        <f>IF(E108="",0,K108-G108+H108-I108-J108)</f>
        <v>0</v>
      </c>
      <c r="M108" s="10">
        <f>IFERROR(E108*VLOOKUP(C108,Products!$A$2:$G$204,4,FALSE),0)</f>
        <v>0</v>
      </c>
      <c r="N108" s="10">
        <f>IFERROR(E108*VLOOKUP(C108,Products!$A$2:$G$204,5,FALSE),0)</f>
        <v>0</v>
      </c>
      <c r="O108" s="10">
        <f>IF(E108="",0,L108-M108-N108)</f>
        <v>0</v>
      </c>
      <c r="P108" s="9"/>
      <c r="Q108" s="9"/>
    </row>
    <row r="109" spans="1:17" x14ac:dyDescent="0.2">
      <c r="A109" s="14"/>
      <c r="B109" s="6"/>
      <c r="C109" s="6"/>
      <c r="D109" s="6" t="str">
        <f>IFERROR(VLOOKUP(C109,Products!$A$2:$G$204,2,FALSE),"")</f>
        <v/>
      </c>
      <c r="E109" s="15"/>
      <c r="F109" s="7">
        <f>IFERROR(VLOOKUP(C109,Products!$A$2:$G$204,6,FALSE),0)</f>
        <v>0</v>
      </c>
      <c r="G109" s="7"/>
      <c r="H109" s="7"/>
      <c r="I109" s="7">
        <f>IF(OR(E109="",F109=""),0,MAX(0,(E109*F109-G109+H109)*IFERROR(VLOOKUP(C109,Products!$A$2:$G$204,7,FALSE),0)))</f>
        <v>0</v>
      </c>
      <c r="J109" s="7"/>
      <c r="K109" s="7">
        <f>IF(OR(E109="",F109=""),0,E109*F109)</f>
        <v>0</v>
      </c>
      <c r="L109" s="7">
        <f>IF(E109="",0,K109-G109+H109-I109-J109)</f>
        <v>0</v>
      </c>
      <c r="M109" s="7">
        <f>IFERROR(E109*VLOOKUP(C109,Products!$A$2:$G$204,4,FALSE),0)</f>
        <v>0</v>
      </c>
      <c r="N109" s="7">
        <f>IFERROR(E109*VLOOKUP(C109,Products!$A$2:$G$204,5,FALSE),0)</f>
        <v>0</v>
      </c>
      <c r="O109" s="7">
        <f>IF(E109="",0,L109-M109-N109)</f>
        <v>0</v>
      </c>
      <c r="P109" s="6"/>
      <c r="Q109" s="6"/>
    </row>
    <row r="110" spans="1:17" x14ac:dyDescent="0.2">
      <c r="A110" s="12"/>
      <c r="B110" s="9"/>
      <c r="C110" s="9"/>
      <c r="D110" s="9" t="str">
        <f>IFERROR(VLOOKUP(C110,Products!$A$2:$G$204,2,FALSE),"")</f>
        <v/>
      </c>
      <c r="E110" s="13"/>
      <c r="F110" s="10">
        <f>IFERROR(VLOOKUP(C110,Products!$A$2:$G$204,6,FALSE),0)</f>
        <v>0</v>
      </c>
      <c r="G110" s="10"/>
      <c r="H110" s="10"/>
      <c r="I110" s="10">
        <f>IF(OR(E110="",F110=""),0,MAX(0,(E110*F110-G110+H110)*IFERROR(VLOOKUP(C110,Products!$A$2:$G$204,7,FALSE),0)))</f>
        <v>0</v>
      </c>
      <c r="J110" s="10"/>
      <c r="K110" s="10">
        <f>IF(OR(E110="",F110=""),0,E110*F110)</f>
        <v>0</v>
      </c>
      <c r="L110" s="10">
        <f>IF(E110="",0,K110-G110+H110-I110-J110)</f>
        <v>0</v>
      </c>
      <c r="M110" s="10">
        <f>IFERROR(E110*VLOOKUP(C110,Products!$A$2:$G$204,4,FALSE),0)</f>
        <v>0</v>
      </c>
      <c r="N110" s="10">
        <f>IFERROR(E110*VLOOKUP(C110,Products!$A$2:$G$204,5,FALSE),0)</f>
        <v>0</v>
      </c>
      <c r="O110" s="10">
        <f>IF(E110="",0,L110-M110-N110)</f>
        <v>0</v>
      </c>
      <c r="P110" s="9"/>
      <c r="Q110" s="9"/>
    </row>
    <row r="111" spans="1:17" x14ac:dyDescent="0.2">
      <c r="A111" s="14"/>
      <c r="B111" s="6"/>
      <c r="C111" s="6"/>
      <c r="D111" s="6" t="str">
        <f>IFERROR(VLOOKUP(C111,Products!$A$2:$G$204,2,FALSE),"")</f>
        <v/>
      </c>
      <c r="E111" s="15"/>
      <c r="F111" s="7">
        <f>IFERROR(VLOOKUP(C111,Products!$A$2:$G$204,6,FALSE),0)</f>
        <v>0</v>
      </c>
      <c r="G111" s="7"/>
      <c r="H111" s="7"/>
      <c r="I111" s="7">
        <f>IF(OR(E111="",F111=""),0,MAX(0,(E111*F111-G111+H111)*IFERROR(VLOOKUP(C111,Products!$A$2:$G$204,7,FALSE),0)))</f>
        <v>0</v>
      </c>
      <c r="J111" s="7"/>
      <c r="K111" s="7">
        <f>IF(OR(E111="",F111=""),0,E111*F111)</f>
        <v>0</v>
      </c>
      <c r="L111" s="7">
        <f>IF(E111="",0,K111-G111+H111-I111-J111)</f>
        <v>0</v>
      </c>
      <c r="M111" s="7">
        <f>IFERROR(E111*VLOOKUP(C111,Products!$A$2:$G$204,4,FALSE),0)</f>
        <v>0</v>
      </c>
      <c r="N111" s="7">
        <f>IFERROR(E111*VLOOKUP(C111,Products!$A$2:$G$204,5,FALSE),0)</f>
        <v>0</v>
      </c>
      <c r="O111" s="7">
        <f>IF(E111="",0,L111-M111-N111)</f>
        <v>0</v>
      </c>
      <c r="P111" s="6"/>
      <c r="Q111" s="6"/>
    </row>
    <row r="112" spans="1:17" x14ac:dyDescent="0.2">
      <c r="A112" s="12"/>
      <c r="B112" s="9"/>
      <c r="C112" s="9"/>
      <c r="D112" s="9" t="str">
        <f>IFERROR(VLOOKUP(C112,Products!$A$2:$G$204,2,FALSE),"")</f>
        <v/>
      </c>
      <c r="E112" s="13"/>
      <c r="F112" s="10">
        <f>IFERROR(VLOOKUP(C112,Products!$A$2:$G$204,6,FALSE),0)</f>
        <v>0</v>
      </c>
      <c r="G112" s="10"/>
      <c r="H112" s="10"/>
      <c r="I112" s="10">
        <f>IF(OR(E112="",F112=""),0,MAX(0,(E112*F112-G112+H112)*IFERROR(VLOOKUP(C112,Products!$A$2:$G$204,7,FALSE),0)))</f>
        <v>0</v>
      </c>
      <c r="J112" s="10"/>
      <c r="K112" s="10">
        <f>IF(OR(E112="",F112=""),0,E112*F112)</f>
        <v>0</v>
      </c>
      <c r="L112" s="10">
        <f>IF(E112="",0,K112-G112+H112-I112-J112)</f>
        <v>0</v>
      </c>
      <c r="M112" s="10">
        <f>IFERROR(E112*VLOOKUP(C112,Products!$A$2:$G$204,4,FALSE),0)</f>
        <v>0</v>
      </c>
      <c r="N112" s="10">
        <f>IFERROR(E112*VLOOKUP(C112,Products!$A$2:$G$204,5,FALSE),0)</f>
        <v>0</v>
      </c>
      <c r="O112" s="10">
        <f>IF(E112="",0,L112-M112-N112)</f>
        <v>0</v>
      </c>
      <c r="P112" s="9"/>
      <c r="Q112" s="9"/>
    </row>
    <row r="113" spans="1:17" x14ac:dyDescent="0.2">
      <c r="A113" s="14"/>
      <c r="B113" s="6"/>
      <c r="C113" s="6"/>
      <c r="D113" s="6" t="str">
        <f>IFERROR(VLOOKUP(C113,Products!$A$2:$G$204,2,FALSE),"")</f>
        <v/>
      </c>
      <c r="E113" s="15"/>
      <c r="F113" s="7">
        <f>IFERROR(VLOOKUP(C113,Products!$A$2:$G$204,6,FALSE),0)</f>
        <v>0</v>
      </c>
      <c r="G113" s="7"/>
      <c r="H113" s="7"/>
      <c r="I113" s="7">
        <f>IF(OR(E113="",F113=""),0,MAX(0,(E113*F113-G113+H113)*IFERROR(VLOOKUP(C113,Products!$A$2:$G$204,7,FALSE),0)))</f>
        <v>0</v>
      </c>
      <c r="J113" s="7"/>
      <c r="K113" s="7">
        <f>IF(OR(E113="",F113=""),0,E113*F113)</f>
        <v>0</v>
      </c>
      <c r="L113" s="7">
        <f>IF(E113="",0,K113-G113+H113-I113-J113)</f>
        <v>0</v>
      </c>
      <c r="M113" s="7">
        <f>IFERROR(E113*VLOOKUP(C113,Products!$A$2:$G$204,4,FALSE),0)</f>
        <v>0</v>
      </c>
      <c r="N113" s="7">
        <f>IFERROR(E113*VLOOKUP(C113,Products!$A$2:$G$204,5,FALSE),0)</f>
        <v>0</v>
      </c>
      <c r="O113" s="7">
        <f>IF(E113="",0,L113-M113-N113)</f>
        <v>0</v>
      </c>
      <c r="P113" s="6"/>
      <c r="Q113" s="6"/>
    </row>
    <row r="114" spans="1:17" x14ac:dyDescent="0.2">
      <c r="A114" s="12"/>
      <c r="B114" s="9"/>
      <c r="C114" s="9"/>
      <c r="D114" s="9" t="str">
        <f>IFERROR(VLOOKUP(C114,Products!$A$2:$G$204,2,FALSE),"")</f>
        <v/>
      </c>
      <c r="E114" s="13"/>
      <c r="F114" s="10">
        <f>IFERROR(VLOOKUP(C114,Products!$A$2:$G$204,6,FALSE),0)</f>
        <v>0</v>
      </c>
      <c r="G114" s="10"/>
      <c r="H114" s="10"/>
      <c r="I114" s="10">
        <f>IF(OR(E114="",F114=""),0,MAX(0,(E114*F114-G114+H114)*IFERROR(VLOOKUP(C114,Products!$A$2:$G$204,7,FALSE),0)))</f>
        <v>0</v>
      </c>
      <c r="J114" s="10"/>
      <c r="K114" s="10">
        <f>IF(OR(E114="",F114=""),0,E114*F114)</f>
        <v>0</v>
      </c>
      <c r="L114" s="10">
        <f>IF(E114="",0,K114-G114+H114-I114-J114)</f>
        <v>0</v>
      </c>
      <c r="M114" s="10">
        <f>IFERROR(E114*VLOOKUP(C114,Products!$A$2:$G$204,4,FALSE),0)</f>
        <v>0</v>
      </c>
      <c r="N114" s="10">
        <f>IFERROR(E114*VLOOKUP(C114,Products!$A$2:$G$204,5,FALSE),0)</f>
        <v>0</v>
      </c>
      <c r="O114" s="10">
        <f>IF(E114="",0,L114-M114-N114)</f>
        <v>0</v>
      </c>
      <c r="P114" s="9"/>
      <c r="Q114" s="9"/>
    </row>
    <row r="115" spans="1:17" x14ac:dyDescent="0.2">
      <c r="A115" s="14"/>
      <c r="B115" s="6"/>
      <c r="C115" s="6"/>
      <c r="D115" s="6" t="str">
        <f>IFERROR(VLOOKUP(C115,Products!$A$2:$G$204,2,FALSE),"")</f>
        <v/>
      </c>
      <c r="E115" s="15"/>
      <c r="F115" s="7">
        <f>IFERROR(VLOOKUP(C115,Products!$A$2:$G$204,6,FALSE),0)</f>
        <v>0</v>
      </c>
      <c r="G115" s="7"/>
      <c r="H115" s="7"/>
      <c r="I115" s="7">
        <f>IF(OR(E115="",F115=""),0,MAX(0,(E115*F115-G115+H115)*IFERROR(VLOOKUP(C115,Products!$A$2:$G$204,7,FALSE),0)))</f>
        <v>0</v>
      </c>
      <c r="J115" s="7"/>
      <c r="K115" s="7">
        <f>IF(OR(E115="",F115=""),0,E115*F115)</f>
        <v>0</v>
      </c>
      <c r="L115" s="7">
        <f>IF(E115="",0,K115-G115+H115-I115-J115)</f>
        <v>0</v>
      </c>
      <c r="M115" s="7">
        <f>IFERROR(E115*VLOOKUP(C115,Products!$A$2:$G$204,4,FALSE),0)</f>
        <v>0</v>
      </c>
      <c r="N115" s="7">
        <f>IFERROR(E115*VLOOKUP(C115,Products!$A$2:$G$204,5,FALSE),0)</f>
        <v>0</v>
      </c>
      <c r="O115" s="7">
        <f>IF(E115="",0,L115-M115-N115)</f>
        <v>0</v>
      </c>
      <c r="P115" s="6"/>
      <c r="Q115" s="6"/>
    </row>
    <row r="116" spans="1:17" x14ac:dyDescent="0.2">
      <c r="A116" s="12"/>
      <c r="B116" s="9"/>
      <c r="C116" s="9"/>
      <c r="D116" s="9" t="str">
        <f>IFERROR(VLOOKUP(C116,Products!$A$2:$G$204,2,FALSE),"")</f>
        <v/>
      </c>
      <c r="E116" s="13"/>
      <c r="F116" s="10">
        <f>IFERROR(VLOOKUP(C116,Products!$A$2:$G$204,6,FALSE),0)</f>
        <v>0</v>
      </c>
      <c r="G116" s="10"/>
      <c r="H116" s="10"/>
      <c r="I116" s="10">
        <f>IF(OR(E116="",F116=""),0,MAX(0,(E116*F116-G116+H116)*IFERROR(VLOOKUP(C116,Products!$A$2:$G$204,7,FALSE),0)))</f>
        <v>0</v>
      </c>
      <c r="J116" s="10"/>
      <c r="K116" s="10">
        <f>IF(OR(E116="",F116=""),0,E116*F116)</f>
        <v>0</v>
      </c>
      <c r="L116" s="10">
        <f>IF(E116="",0,K116-G116+H116-I116-J116)</f>
        <v>0</v>
      </c>
      <c r="M116" s="10">
        <f>IFERROR(E116*VLOOKUP(C116,Products!$A$2:$G$204,4,FALSE),0)</f>
        <v>0</v>
      </c>
      <c r="N116" s="10">
        <f>IFERROR(E116*VLOOKUP(C116,Products!$A$2:$G$204,5,FALSE),0)</f>
        <v>0</v>
      </c>
      <c r="O116" s="10">
        <f>IF(E116="",0,L116-M116-N116)</f>
        <v>0</v>
      </c>
      <c r="P116" s="9"/>
      <c r="Q116" s="9"/>
    </row>
    <row r="117" spans="1:17" x14ac:dyDescent="0.2">
      <c r="A117" s="14"/>
      <c r="B117" s="6"/>
      <c r="C117" s="6"/>
      <c r="D117" s="6" t="str">
        <f>IFERROR(VLOOKUP(C117,Products!$A$2:$G$204,2,FALSE),"")</f>
        <v/>
      </c>
      <c r="E117" s="15"/>
      <c r="F117" s="7">
        <f>IFERROR(VLOOKUP(C117,Products!$A$2:$G$204,6,FALSE),0)</f>
        <v>0</v>
      </c>
      <c r="G117" s="7"/>
      <c r="H117" s="7"/>
      <c r="I117" s="7">
        <f>IF(OR(E117="",F117=""),0,MAX(0,(E117*F117-G117+H117)*IFERROR(VLOOKUP(C117,Products!$A$2:$G$204,7,FALSE),0)))</f>
        <v>0</v>
      </c>
      <c r="J117" s="7"/>
      <c r="K117" s="7">
        <f>IF(OR(E117="",F117=""),0,E117*F117)</f>
        <v>0</v>
      </c>
      <c r="L117" s="7">
        <f>IF(E117="",0,K117-G117+H117-I117-J117)</f>
        <v>0</v>
      </c>
      <c r="M117" s="7">
        <f>IFERROR(E117*VLOOKUP(C117,Products!$A$2:$G$204,4,FALSE),0)</f>
        <v>0</v>
      </c>
      <c r="N117" s="7">
        <f>IFERROR(E117*VLOOKUP(C117,Products!$A$2:$G$204,5,FALSE),0)</f>
        <v>0</v>
      </c>
      <c r="O117" s="7">
        <f>IF(E117="",0,L117-M117-N117)</f>
        <v>0</v>
      </c>
      <c r="P117" s="6"/>
      <c r="Q117" s="6"/>
    </row>
    <row r="118" spans="1:17" x14ac:dyDescent="0.2">
      <c r="A118" s="12"/>
      <c r="B118" s="9"/>
      <c r="C118" s="9"/>
      <c r="D118" s="9" t="str">
        <f>IFERROR(VLOOKUP(C118,Products!$A$2:$G$204,2,FALSE),"")</f>
        <v/>
      </c>
      <c r="E118" s="13"/>
      <c r="F118" s="10">
        <f>IFERROR(VLOOKUP(C118,Products!$A$2:$G$204,6,FALSE),0)</f>
        <v>0</v>
      </c>
      <c r="G118" s="10"/>
      <c r="H118" s="10"/>
      <c r="I118" s="10">
        <f>IF(OR(E118="",F118=""),0,MAX(0,(E118*F118-G118+H118)*IFERROR(VLOOKUP(C118,Products!$A$2:$G$204,7,FALSE),0)))</f>
        <v>0</v>
      </c>
      <c r="J118" s="10"/>
      <c r="K118" s="10">
        <f>IF(OR(E118="",F118=""),0,E118*F118)</f>
        <v>0</v>
      </c>
      <c r="L118" s="10">
        <f>IF(E118="",0,K118-G118+H118-I118-J118)</f>
        <v>0</v>
      </c>
      <c r="M118" s="10">
        <f>IFERROR(E118*VLOOKUP(C118,Products!$A$2:$G$204,4,FALSE),0)</f>
        <v>0</v>
      </c>
      <c r="N118" s="10">
        <f>IFERROR(E118*VLOOKUP(C118,Products!$A$2:$G$204,5,FALSE),0)</f>
        <v>0</v>
      </c>
      <c r="O118" s="10">
        <f>IF(E118="",0,L118-M118-N118)</f>
        <v>0</v>
      </c>
      <c r="P118" s="9"/>
      <c r="Q118" s="9"/>
    </row>
    <row r="119" spans="1:17" x14ac:dyDescent="0.2">
      <c r="A119" s="14"/>
      <c r="B119" s="6"/>
      <c r="C119" s="6"/>
      <c r="D119" s="6" t="str">
        <f>IFERROR(VLOOKUP(C119,Products!$A$2:$G$204,2,FALSE),"")</f>
        <v/>
      </c>
      <c r="E119" s="15"/>
      <c r="F119" s="7">
        <f>IFERROR(VLOOKUP(C119,Products!$A$2:$G$204,6,FALSE),0)</f>
        <v>0</v>
      </c>
      <c r="G119" s="7"/>
      <c r="H119" s="7"/>
      <c r="I119" s="7">
        <f>IF(OR(E119="",F119=""),0,MAX(0,(E119*F119-G119+H119)*IFERROR(VLOOKUP(C119,Products!$A$2:$G$204,7,FALSE),0)))</f>
        <v>0</v>
      </c>
      <c r="J119" s="7"/>
      <c r="K119" s="7">
        <f>IF(OR(E119="",F119=""),0,E119*F119)</f>
        <v>0</v>
      </c>
      <c r="L119" s="7">
        <f>IF(E119="",0,K119-G119+H119-I119-J119)</f>
        <v>0</v>
      </c>
      <c r="M119" s="7">
        <f>IFERROR(E119*VLOOKUP(C119,Products!$A$2:$G$204,4,FALSE),0)</f>
        <v>0</v>
      </c>
      <c r="N119" s="7">
        <f>IFERROR(E119*VLOOKUP(C119,Products!$A$2:$G$204,5,FALSE),0)</f>
        <v>0</v>
      </c>
      <c r="O119" s="7">
        <f>IF(E119="",0,L119-M119-N119)</f>
        <v>0</v>
      </c>
      <c r="P119" s="6"/>
      <c r="Q119" s="6"/>
    </row>
    <row r="120" spans="1:17" x14ac:dyDescent="0.2">
      <c r="A120" s="12"/>
      <c r="B120" s="9"/>
      <c r="C120" s="9"/>
      <c r="D120" s="9" t="str">
        <f>IFERROR(VLOOKUP(C120,Products!$A$2:$G$204,2,FALSE),"")</f>
        <v/>
      </c>
      <c r="E120" s="13"/>
      <c r="F120" s="10">
        <f>IFERROR(VLOOKUP(C120,Products!$A$2:$G$204,6,FALSE),0)</f>
        <v>0</v>
      </c>
      <c r="G120" s="10"/>
      <c r="H120" s="10"/>
      <c r="I120" s="10">
        <f>IF(OR(E120="",F120=""),0,MAX(0,(E120*F120-G120+H120)*IFERROR(VLOOKUP(C120,Products!$A$2:$G$204,7,FALSE),0)))</f>
        <v>0</v>
      </c>
      <c r="J120" s="10"/>
      <c r="K120" s="10">
        <f>IF(OR(E120="",F120=""),0,E120*F120)</f>
        <v>0</v>
      </c>
      <c r="L120" s="10">
        <f>IF(E120="",0,K120-G120+H120-I120-J120)</f>
        <v>0</v>
      </c>
      <c r="M120" s="10">
        <f>IFERROR(E120*VLOOKUP(C120,Products!$A$2:$G$204,4,FALSE),0)</f>
        <v>0</v>
      </c>
      <c r="N120" s="10">
        <f>IFERROR(E120*VLOOKUP(C120,Products!$A$2:$G$204,5,FALSE),0)</f>
        <v>0</v>
      </c>
      <c r="O120" s="10">
        <f>IF(E120="",0,L120-M120-N120)</f>
        <v>0</v>
      </c>
      <c r="P120" s="9"/>
      <c r="Q120" s="9"/>
    </row>
    <row r="121" spans="1:17" x14ac:dyDescent="0.2">
      <c r="A121" s="14"/>
      <c r="B121" s="6"/>
      <c r="C121" s="6"/>
      <c r="D121" s="6" t="str">
        <f>IFERROR(VLOOKUP(C121,Products!$A$2:$G$204,2,FALSE),"")</f>
        <v/>
      </c>
      <c r="E121" s="15"/>
      <c r="F121" s="7">
        <f>IFERROR(VLOOKUP(C121,Products!$A$2:$G$204,6,FALSE),0)</f>
        <v>0</v>
      </c>
      <c r="G121" s="7"/>
      <c r="H121" s="7"/>
      <c r="I121" s="7">
        <f>IF(OR(E121="",F121=""),0,MAX(0,(E121*F121-G121+H121)*IFERROR(VLOOKUP(C121,Products!$A$2:$G$204,7,FALSE),0)))</f>
        <v>0</v>
      </c>
      <c r="J121" s="7"/>
      <c r="K121" s="7">
        <f>IF(OR(E121="",F121=""),0,E121*F121)</f>
        <v>0</v>
      </c>
      <c r="L121" s="7">
        <f>IF(E121="",0,K121-G121+H121-I121-J121)</f>
        <v>0</v>
      </c>
      <c r="M121" s="7">
        <f>IFERROR(E121*VLOOKUP(C121,Products!$A$2:$G$204,4,FALSE),0)</f>
        <v>0</v>
      </c>
      <c r="N121" s="7">
        <f>IFERROR(E121*VLOOKUP(C121,Products!$A$2:$G$204,5,FALSE),0)</f>
        <v>0</v>
      </c>
      <c r="O121" s="7">
        <f>IF(E121="",0,L121-M121-N121)</f>
        <v>0</v>
      </c>
      <c r="P121" s="6"/>
      <c r="Q121" s="6"/>
    </row>
    <row r="122" spans="1:17" x14ac:dyDescent="0.2">
      <c r="A122" s="12"/>
      <c r="B122" s="9"/>
      <c r="C122" s="9"/>
      <c r="D122" s="9" t="str">
        <f>IFERROR(VLOOKUP(C122,Products!$A$2:$G$204,2,FALSE),"")</f>
        <v/>
      </c>
      <c r="E122" s="13"/>
      <c r="F122" s="10">
        <f>IFERROR(VLOOKUP(C122,Products!$A$2:$G$204,6,FALSE),0)</f>
        <v>0</v>
      </c>
      <c r="G122" s="10"/>
      <c r="H122" s="10"/>
      <c r="I122" s="10">
        <f>IF(OR(E122="",F122=""),0,MAX(0,(E122*F122-G122+H122)*IFERROR(VLOOKUP(C122,Products!$A$2:$G$204,7,FALSE),0)))</f>
        <v>0</v>
      </c>
      <c r="J122" s="10"/>
      <c r="K122" s="10">
        <f>IF(OR(E122="",F122=""),0,E122*F122)</f>
        <v>0</v>
      </c>
      <c r="L122" s="10">
        <f>IF(E122="",0,K122-G122+H122-I122-J122)</f>
        <v>0</v>
      </c>
      <c r="M122" s="10">
        <f>IFERROR(E122*VLOOKUP(C122,Products!$A$2:$G$204,4,FALSE),0)</f>
        <v>0</v>
      </c>
      <c r="N122" s="10">
        <f>IFERROR(E122*VLOOKUP(C122,Products!$A$2:$G$204,5,FALSE),0)</f>
        <v>0</v>
      </c>
      <c r="O122" s="10">
        <f>IF(E122="",0,L122-M122-N122)</f>
        <v>0</v>
      </c>
      <c r="P122" s="9"/>
      <c r="Q122" s="9"/>
    </row>
    <row r="123" spans="1:17" x14ac:dyDescent="0.2">
      <c r="A123" s="14"/>
      <c r="B123" s="6"/>
      <c r="C123" s="6"/>
      <c r="D123" s="6" t="str">
        <f>IFERROR(VLOOKUP(C123,Products!$A$2:$G$204,2,FALSE),"")</f>
        <v/>
      </c>
      <c r="E123" s="15"/>
      <c r="F123" s="7">
        <f>IFERROR(VLOOKUP(C123,Products!$A$2:$G$204,6,FALSE),0)</f>
        <v>0</v>
      </c>
      <c r="G123" s="7"/>
      <c r="H123" s="7"/>
      <c r="I123" s="7">
        <f>IF(OR(E123="",F123=""),0,MAX(0,(E123*F123-G123+H123)*IFERROR(VLOOKUP(C123,Products!$A$2:$G$204,7,FALSE),0)))</f>
        <v>0</v>
      </c>
      <c r="J123" s="7"/>
      <c r="K123" s="7">
        <f>IF(OR(E123="",F123=""),0,E123*F123)</f>
        <v>0</v>
      </c>
      <c r="L123" s="7">
        <f>IF(E123="",0,K123-G123+H123-I123-J123)</f>
        <v>0</v>
      </c>
      <c r="M123" s="7">
        <f>IFERROR(E123*VLOOKUP(C123,Products!$A$2:$G$204,4,FALSE),0)</f>
        <v>0</v>
      </c>
      <c r="N123" s="7">
        <f>IFERROR(E123*VLOOKUP(C123,Products!$A$2:$G$204,5,FALSE),0)</f>
        <v>0</v>
      </c>
      <c r="O123" s="7">
        <f>IF(E123="",0,L123-M123-N123)</f>
        <v>0</v>
      </c>
      <c r="P123" s="6"/>
      <c r="Q123" s="6"/>
    </row>
    <row r="124" spans="1:17" x14ac:dyDescent="0.2">
      <c r="A124" s="12"/>
      <c r="B124" s="9"/>
      <c r="C124" s="9"/>
      <c r="D124" s="9" t="str">
        <f>IFERROR(VLOOKUP(C124,Products!$A$2:$G$204,2,FALSE),"")</f>
        <v/>
      </c>
      <c r="E124" s="13"/>
      <c r="F124" s="10">
        <f>IFERROR(VLOOKUP(C124,Products!$A$2:$G$204,6,FALSE),0)</f>
        <v>0</v>
      </c>
      <c r="G124" s="10"/>
      <c r="H124" s="10"/>
      <c r="I124" s="10">
        <f>IF(OR(E124="",F124=""),0,MAX(0,(E124*F124-G124+H124)*IFERROR(VLOOKUP(C124,Products!$A$2:$G$204,7,FALSE),0)))</f>
        <v>0</v>
      </c>
      <c r="J124" s="10"/>
      <c r="K124" s="10">
        <f>IF(OR(E124="",F124=""),0,E124*F124)</f>
        <v>0</v>
      </c>
      <c r="L124" s="10">
        <f>IF(E124="",0,K124-G124+H124-I124-J124)</f>
        <v>0</v>
      </c>
      <c r="M124" s="10">
        <f>IFERROR(E124*VLOOKUP(C124,Products!$A$2:$G$204,4,FALSE),0)</f>
        <v>0</v>
      </c>
      <c r="N124" s="10">
        <f>IFERROR(E124*VLOOKUP(C124,Products!$A$2:$G$204,5,FALSE),0)</f>
        <v>0</v>
      </c>
      <c r="O124" s="10">
        <f>IF(E124="",0,L124-M124-N124)</f>
        <v>0</v>
      </c>
      <c r="P124" s="9"/>
      <c r="Q124" s="9"/>
    </row>
    <row r="125" spans="1:17" x14ac:dyDescent="0.2">
      <c r="A125" s="14"/>
      <c r="B125" s="6"/>
      <c r="C125" s="6"/>
      <c r="D125" s="6" t="str">
        <f>IFERROR(VLOOKUP(C125,Products!$A$2:$G$204,2,FALSE),"")</f>
        <v/>
      </c>
      <c r="E125" s="15"/>
      <c r="F125" s="7">
        <f>IFERROR(VLOOKUP(C125,Products!$A$2:$G$204,6,FALSE),0)</f>
        <v>0</v>
      </c>
      <c r="G125" s="7"/>
      <c r="H125" s="7"/>
      <c r="I125" s="7">
        <f>IF(OR(E125="",F125=""),0,MAX(0,(E125*F125-G125+H125)*IFERROR(VLOOKUP(C125,Products!$A$2:$G$204,7,FALSE),0)))</f>
        <v>0</v>
      </c>
      <c r="J125" s="7"/>
      <c r="K125" s="7">
        <f>IF(OR(E125="",F125=""),0,E125*F125)</f>
        <v>0</v>
      </c>
      <c r="L125" s="7">
        <f>IF(E125="",0,K125-G125+H125-I125-J125)</f>
        <v>0</v>
      </c>
      <c r="M125" s="7">
        <f>IFERROR(E125*VLOOKUP(C125,Products!$A$2:$G$204,4,FALSE),0)</f>
        <v>0</v>
      </c>
      <c r="N125" s="7">
        <f>IFERROR(E125*VLOOKUP(C125,Products!$A$2:$G$204,5,FALSE),0)</f>
        <v>0</v>
      </c>
      <c r="O125" s="7">
        <f>IF(E125="",0,L125-M125-N125)</f>
        <v>0</v>
      </c>
      <c r="P125" s="6"/>
      <c r="Q125" s="6"/>
    </row>
    <row r="126" spans="1:17" x14ac:dyDescent="0.2">
      <c r="A126" s="12"/>
      <c r="B126" s="9"/>
      <c r="C126" s="9"/>
      <c r="D126" s="9" t="str">
        <f>IFERROR(VLOOKUP(C126,Products!$A$2:$G$204,2,FALSE),"")</f>
        <v/>
      </c>
      <c r="E126" s="13"/>
      <c r="F126" s="10">
        <f>IFERROR(VLOOKUP(C126,Products!$A$2:$G$204,6,FALSE),0)</f>
        <v>0</v>
      </c>
      <c r="G126" s="10"/>
      <c r="H126" s="10"/>
      <c r="I126" s="10">
        <f>IF(OR(E126="",F126=""),0,MAX(0,(E126*F126-G126+H126)*IFERROR(VLOOKUP(C126,Products!$A$2:$G$204,7,FALSE),0)))</f>
        <v>0</v>
      </c>
      <c r="J126" s="10"/>
      <c r="K126" s="10">
        <f>IF(OR(E126="",F126=""),0,E126*F126)</f>
        <v>0</v>
      </c>
      <c r="L126" s="10">
        <f>IF(E126="",0,K126-G126+H126-I126-J126)</f>
        <v>0</v>
      </c>
      <c r="M126" s="10">
        <f>IFERROR(E126*VLOOKUP(C126,Products!$A$2:$G$204,4,FALSE),0)</f>
        <v>0</v>
      </c>
      <c r="N126" s="10">
        <f>IFERROR(E126*VLOOKUP(C126,Products!$A$2:$G$204,5,FALSE),0)</f>
        <v>0</v>
      </c>
      <c r="O126" s="10">
        <f>IF(E126="",0,L126-M126-N126)</f>
        <v>0</v>
      </c>
      <c r="P126" s="9"/>
      <c r="Q126" s="9"/>
    </row>
    <row r="127" spans="1:17" x14ac:dyDescent="0.2">
      <c r="A127" s="14"/>
      <c r="B127" s="6"/>
      <c r="C127" s="6"/>
      <c r="D127" s="6" t="str">
        <f>IFERROR(VLOOKUP(C127,Products!$A$2:$G$204,2,FALSE),"")</f>
        <v/>
      </c>
      <c r="E127" s="15"/>
      <c r="F127" s="7">
        <f>IFERROR(VLOOKUP(C127,Products!$A$2:$G$204,6,FALSE),0)</f>
        <v>0</v>
      </c>
      <c r="G127" s="7"/>
      <c r="H127" s="7"/>
      <c r="I127" s="7">
        <f>IF(OR(E127="",F127=""),0,MAX(0,(E127*F127-G127+H127)*IFERROR(VLOOKUP(C127,Products!$A$2:$G$204,7,FALSE),0)))</f>
        <v>0</v>
      </c>
      <c r="J127" s="7"/>
      <c r="K127" s="7">
        <f>IF(OR(E127="",F127=""),0,E127*F127)</f>
        <v>0</v>
      </c>
      <c r="L127" s="7">
        <f>IF(E127="",0,K127-G127+H127-I127-J127)</f>
        <v>0</v>
      </c>
      <c r="M127" s="7">
        <f>IFERROR(E127*VLOOKUP(C127,Products!$A$2:$G$204,4,FALSE),0)</f>
        <v>0</v>
      </c>
      <c r="N127" s="7">
        <f>IFERROR(E127*VLOOKUP(C127,Products!$A$2:$G$204,5,FALSE),0)</f>
        <v>0</v>
      </c>
      <c r="O127" s="7">
        <f>IF(E127="",0,L127-M127-N127)</f>
        <v>0</v>
      </c>
      <c r="P127" s="6"/>
      <c r="Q127" s="6"/>
    </row>
    <row r="128" spans="1:17" x14ac:dyDescent="0.2">
      <c r="A128" s="12"/>
      <c r="B128" s="9"/>
      <c r="C128" s="9"/>
      <c r="D128" s="9" t="str">
        <f>IFERROR(VLOOKUP(C128,Products!$A$2:$G$204,2,FALSE),"")</f>
        <v/>
      </c>
      <c r="E128" s="13"/>
      <c r="F128" s="10">
        <f>IFERROR(VLOOKUP(C128,Products!$A$2:$G$204,6,FALSE),0)</f>
        <v>0</v>
      </c>
      <c r="G128" s="10"/>
      <c r="H128" s="10"/>
      <c r="I128" s="10">
        <f>IF(OR(E128="",F128=""),0,MAX(0,(E128*F128-G128+H128)*IFERROR(VLOOKUP(C128,Products!$A$2:$G$204,7,FALSE),0)))</f>
        <v>0</v>
      </c>
      <c r="J128" s="10"/>
      <c r="K128" s="10">
        <f>IF(OR(E128="",F128=""),0,E128*F128)</f>
        <v>0</v>
      </c>
      <c r="L128" s="10">
        <f>IF(E128="",0,K128-G128+H128-I128-J128)</f>
        <v>0</v>
      </c>
      <c r="M128" s="10">
        <f>IFERROR(E128*VLOOKUP(C128,Products!$A$2:$G$204,4,FALSE),0)</f>
        <v>0</v>
      </c>
      <c r="N128" s="10">
        <f>IFERROR(E128*VLOOKUP(C128,Products!$A$2:$G$204,5,FALSE),0)</f>
        <v>0</v>
      </c>
      <c r="O128" s="10">
        <f>IF(E128="",0,L128-M128-N128)</f>
        <v>0</v>
      </c>
      <c r="P128" s="9"/>
      <c r="Q128" s="9"/>
    </row>
    <row r="129" spans="1:17" x14ac:dyDescent="0.2">
      <c r="A129" s="14"/>
      <c r="B129" s="6"/>
      <c r="C129" s="6"/>
      <c r="D129" s="6" t="str">
        <f>IFERROR(VLOOKUP(C129,Products!$A$2:$G$204,2,FALSE),"")</f>
        <v/>
      </c>
      <c r="E129" s="15"/>
      <c r="F129" s="7">
        <f>IFERROR(VLOOKUP(C129,Products!$A$2:$G$204,6,FALSE),0)</f>
        <v>0</v>
      </c>
      <c r="G129" s="7"/>
      <c r="H129" s="7"/>
      <c r="I129" s="7">
        <f>IF(OR(E129="",F129=""),0,MAX(0,(E129*F129-G129+H129)*IFERROR(VLOOKUP(C129,Products!$A$2:$G$204,7,FALSE),0)))</f>
        <v>0</v>
      </c>
      <c r="J129" s="7"/>
      <c r="K129" s="7">
        <f>IF(OR(E129="",F129=""),0,E129*F129)</f>
        <v>0</v>
      </c>
      <c r="L129" s="7">
        <f>IF(E129="",0,K129-G129+H129-I129-J129)</f>
        <v>0</v>
      </c>
      <c r="M129" s="7">
        <f>IFERROR(E129*VLOOKUP(C129,Products!$A$2:$G$204,4,FALSE),0)</f>
        <v>0</v>
      </c>
      <c r="N129" s="7">
        <f>IFERROR(E129*VLOOKUP(C129,Products!$A$2:$G$204,5,FALSE),0)</f>
        <v>0</v>
      </c>
      <c r="O129" s="7">
        <f>IF(E129="",0,L129-M129-N129)</f>
        <v>0</v>
      </c>
      <c r="P129" s="6"/>
      <c r="Q129" s="6"/>
    </row>
    <row r="130" spans="1:17" x14ac:dyDescent="0.2">
      <c r="A130" s="12"/>
      <c r="B130" s="9"/>
      <c r="C130" s="9"/>
      <c r="D130" s="9" t="str">
        <f>IFERROR(VLOOKUP(C130,Products!$A$2:$G$204,2,FALSE),"")</f>
        <v/>
      </c>
      <c r="E130" s="13"/>
      <c r="F130" s="10">
        <f>IFERROR(VLOOKUP(C130,Products!$A$2:$G$204,6,FALSE),0)</f>
        <v>0</v>
      </c>
      <c r="G130" s="10"/>
      <c r="H130" s="10"/>
      <c r="I130" s="10">
        <f>IF(OR(E130="",F130=""),0,MAX(0,(E130*F130-G130+H130)*IFERROR(VLOOKUP(C130,Products!$A$2:$G$204,7,FALSE),0)))</f>
        <v>0</v>
      </c>
      <c r="J130" s="10"/>
      <c r="K130" s="10">
        <f>IF(OR(E130="",F130=""),0,E130*F130)</f>
        <v>0</v>
      </c>
      <c r="L130" s="10">
        <f>IF(E130="",0,K130-G130+H130-I130-J130)</f>
        <v>0</v>
      </c>
      <c r="M130" s="10">
        <f>IFERROR(E130*VLOOKUP(C130,Products!$A$2:$G$204,4,FALSE),0)</f>
        <v>0</v>
      </c>
      <c r="N130" s="10">
        <f>IFERROR(E130*VLOOKUP(C130,Products!$A$2:$G$204,5,FALSE),0)</f>
        <v>0</v>
      </c>
      <c r="O130" s="10">
        <f>IF(E130="",0,L130-M130-N130)</f>
        <v>0</v>
      </c>
      <c r="P130" s="9"/>
      <c r="Q130" s="9"/>
    </row>
    <row r="131" spans="1:17" x14ac:dyDescent="0.2">
      <c r="A131" s="14"/>
      <c r="B131" s="6"/>
      <c r="C131" s="6"/>
      <c r="D131" s="6" t="str">
        <f>IFERROR(VLOOKUP(C131,Products!$A$2:$G$204,2,FALSE),"")</f>
        <v/>
      </c>
      <c r="E131" s="15"/>
      <c r="F131" s="7">
        <f>IFERROR(VLOOKUP(C131,Products!$A$2:$G$204,6,FALSE),0)</f>
        <v>0</v>
      </c>
      <c r="G131" s="7"/>
      <c r="H131" s="7"/>
      <c r="I131" s="7">
        <f>IF(OR(E131="",F131=""),0,MAX(0,(E131*F131-G131+H131)*IFERROR(VLOOKUP(C131,Products!$A$2:$G$204,7,FALSE),0)))</f>
        <v>0</v>
      </c>
      <c r="J131" s="7"/>
      <c r="K131" s="7">
        <f>IF(OR(E131="",F131=""),0,E131*F131)</f>
        <v>0</v>
      </c>
      <c r="L131" s="7">
        <f>IF(E131="",0,K131-G131+H131-I131-J131)</f>
        <v>0</v>
      </c>
      <c r="M131" s="7">
        <f>IFERROR(E131*VLOOKUP(C131,Products!$A$2:$G$204,4,FALSE),0)</f>
        <v>0</v>
      </c>
      <c r="N131" s="7">
        <f>IFERROR(E131*VLOOKUP(C131,Products!$A$2:$G$204,5,FALSE),0)</f>
        <v>0</v>
      </c>
      <c r="O131" s="7">
        <f>IF(E131="",0,L131-M131-N131)</f>
        <v>0</v>
      </c>
      <c r="P131" s="6"/>
      <c r="Q131" s="6"/>
    </row>
    <row r="132" spans="1:17" x14ac:dyDescent="0.2">
      <c r="A132" s="12"/>
      <c r="B132" s="9"/>
      <c r="C132" s="9"/>
      <c r="D132" s="9" t="str">
        <f>IFERROR(VLOOKUP(C132,Products!$A$2:$G$204,2,FALSE),"")</f>
        <v/>
      </c>
      <c r="E132" s="13"/>
      <c r="F132" s="10">
        <f>IFERROR(VLOOKUP(C132,Products!$A$2:$G$204,6,FALSE),0)</f>
        <v>0</v>
      </c>
      <c r="G132" s="10"/>
      <c r="H132" s="10"/>
      <c r="I132" s="10">
        <f>IF(OR(E132="",F132=""),0,MAX(0,(E132*F132-G132+H132)*IFERROR(VLOOKUP(C132,Products!$A$2:$G$204,7,FALSE),0)))</f>
        <v>0</v>
      </c>
      <c r="J132" s="10"/>
      <c r="K132" s="10">
        <f>IF(OR(E132="",F132=""),0,E132*F132)</f>
        <v>0</v>
      </c>
      <c r="L132" s="10">
        <f>IF(E132="",0,K132-G132+H132-I132-J132)</f>
        <v>0</v>
      </c>
      <c r="M132" s="10">
        <f>IFERROR(E132*VLOOKUP(C132,Products!$A$2:$G$204,4,FALSE),0)</f>
        <v>0</v>
      </c>
      <c r="N132" s="10">
        <f>IFERROR(E132*VLOOKUP(C132,Products!$A$2:$G$204,5,FALSE),0)</f>
        <v>0</v>
      </c>
      <c r="O132" s="10">
        <f>IF(E132="",0,L132-M132-N132)</f>
        <v>0</v>
      </c>
      <c r="P132" s="9"/>
      <c r="Q132" s="9"/>
    </row>
    <row r="133" spans="1:17" x14ac:dyDescent="0.2">
      <c r="A133" s="14"/>
      <c r="B133" s="6"/>
      <c r="C133" s="6"/>
      <c r="D133" s="6" t="str">
        <f>IFERROR(VLOOKUP(C133,Products!$A$2:$G$204,2,FALSE),"")</f>
        <v/>
      </c>
      <c r="E133" s="15"/>
      <c r="F133" s="7">
        <f>IFERROR(VLOOKUP(C133,Products!$A$2:$G$204,6,FALSE),0)</f>
        <v>0</v>
      </c>
      <c r="G133" s="7"/>
      <c r="H133" s="7"/>
      <c r="I133" s="7">
        <f>IF(OR(E133="",F133=""),0,MAX(0,(E133*F133-G133+H133)*IFERROR(VLOOKUP(C133,Products!$A$2:$G$204,7,FALSE),0)))</f>
        <v>0</v>
      </c>
      <c r="J133" s="7"/>
      <c r="K133" s="7">
        <f>IF(OR(E133="",F133=""),0,E133*F133)</f>
        <v>0</v>
      </c>
      <c r="L133" s="7">
        <f>IF(E133="",0,K133-G133+H133-I133-J133)</f>
        <v>0</v>
      </c>
      <c r="M133" s="7">
        <f>IFERROR(E133*VLOOKUP(C133,Products!$A$2:$G$204,4,FALSE),0)</f>
        <v>0</v>
      </c>
      <c r="N133" s="7">
        <f>IFERROR(E133*VLOOKUP(C133,Products!$A$2:$G$204,5,FALSE),0)</f>
        <v>0</v>
      </c>
      <c r="O133" s="7">
        <f>IF(E133="",0,L133-M133-N133)</f>
        <v>0</v>
      </c>
      <c r="P133" s="6"/>
      <c r="Q133" s="6"/>
    </row>
    <row r="134" spans="1:17" x14ac:dyDescent="0.2">
      <c r="A134" s="12"/>
      <c r="B134" s="9"/>
      <c r="C134" s="9"/>
      <c r="D134" s="9" t="str">
        <f>IFERROR(VLOOKUP(C134,Products!$A$2:$G$204,2,FALSE),"")</f>
        <v/>
      </c>
      <c r="E134" s="13"/>
      <c r="F134" s="10">
        <f>IFERROR(VLOOKUP(C134,Products!$A$2:$G$204,6,FALSE),0)</f>
        <v>0</v>
      </c>
      <c r="G134" s="10"/>
      <c r="H134" s="10"/>
      <c r="I134" s="10">
        <f>IF(OR(E134="",F134=""),0,MAX(0,(E134*F134-G134+H134)*IFERROR(VLOOKUP(C134,Products!$A$2:$G$204,7,FALSE),0)))</f>
        <v>0</v>
      </c>
      <c r="J134" s="10"/>
      <c r="K134" s="10">
        <f>IF(OR(E134="",F134=""),0,E134*F134)</f>
        <v>0</v>
      </c>
      <c r="L134" s="10">
        <f>IF(E134="",0,K134-G134+H134-I134-J134)</f>
        <v>0</v>
      </c>
      <c r="M134" s="10">
        <f>IFERROR(E134*VLOOKUP(C134,Products!$A$2:$G$204,4,FALSE),0)</f>
        <v>0</v>
      </c>
      <c r="N134" s="10">
        <f>IFERROR(E134*VLOOKUP(C134,Products!$A$2:$G$204,5,FALSE),0)</f>
        <v>0</v>
      </c>
      <c r="O134" s="10">
        <f>IF(E134="",0,L134-M134-N134)</f>
        <v>0</v>
      </c>
      <c r="P134" s="9"/>
      <c r="Q134" s="9"/>
    </row>
    <row r="135" spans="1:17" x14ac:dyDescent="0.2">
      <c r="A135" s="14"/>
      <c r="B135" s="6"/>
      <c r="C135" s="6"/>
      <c r="D135" s="6" t="str">
        <f>IFERROR(VLOOKUP(C135,Products!$A$2:$G$204,2,FALSE),"")</f>
        <v/>
      </c>
      <c r="E135" s="15"/>
      <c r="F135" s="7">
        <f>IFERROR(VLOOKUP(C135,Products!$A$2:$G$204,6,FALSE),0)</f>
        <v>0</v>
      </c>
      <c r="G135" s="7"/>
      <c r="H135" s="7"/>
      <c r="I135" s="7">
        <f>IF(OR(E135="",F135=""),0,MAX(0,(E135*F135-G135+H135)*IFERROR(VLOOKUP(C135,Products!$A$2:$G$204,7,FALSE),0)))</f>
        <v>0</v>
      </c>
      <c r="J135" s="7"/>
      <c r="K135" s="7">
        <f>IF(OR(E135="",F135=""),0,E135*F135)</f>
        <v>0</v>
      </c>
      <c r="L135" s="7">
        <f>IF(E135="",0,K135-G135+H135-I135-J135)</f>
        <v>0</v>
      </c>
      <c r="M135" s="7">
        <f>IFERROR(E135*VLOOKUP(C135,Products!$A$2:$G$204,4,FALSE),0)</f>
        <v>0</v>
      </c>
      <c r="N135" s="7">
        <f>IFERROR(E135*VLOOKUP(C135,Products!$A$2:$G$204,5,FALSE),0)</f>
        <v>0</v>
      </c>
      <c r="O135" s="7">
        <f>IF(E135="",0,L135-M135-N135)</f>
        <v>0</v>
      </c>
      <c r="P135" s="6"/>
      <c r="Q135" s="6"/>
    </row>
    <row r="136" spans="1:17" x14ac:dyDescent="0.2">
      <c r="A136" s="12"/>
      <c r="B136" s="9"/>
      <c r="C136" s="9"/>
      <c r="D136" s="9" t="str">
        <f>IFERROR(VLOOKUP(C136,Products!$A$2:$G$204,2,FALSE),"")</f>
        <v/>
      </c>
      <c r="E136" s="13"/>
      <c r="F136" s="10">
        <f>IFERROR(VLOOKUP(C136,Products!$A$2:$G$204,6,FALSE),0)</f>
        <v>0</v>
      </c>
      <c r="G136" s="10"/>
      <c r="H136" s="10"/>
      <c r="I136" s="10">
        <f>IF(OR(E136="",F136=""),0,MAX(0,(E136*F136-G136+H136)*IFERROR(VLOOKUP(C136,Products!$A$2:$G$204,7,FALSE),0)))</f>
        <v>0</v>
      </c>
      <c r="J136" s="10"/>
      <c r="K136" s="10">
        <f>IF(OR(E136="",F136=""),0,E136*F136)</f>
        <v>0</v>
      </c>
      <c r="L136" s="10">
        <f>IF(E136="",0,K136-G136+H136-I136-J136)</f>
        <v>0</v>
      </c>
      <c r="M136" s="10">
        <f>IFERROR(E136*VLOOKUP(C136,Products!$A$2:$G$204,4,FALSE),0)</f>
        <v>0</v>
      </c>
      <c r="N136" s="10">
        <f>IFERROR(E136*VLOOKUP(C136,Products!$A$2:$G$204,5,FALSE),0)</f>
        <v>0</v>
      </c>
      <c r="O136" s="10">
        <f>IF(E136="",0,L136-M136-N136)</f>
        <v>0</v>
      </c>
      <c r="P136" s="9"/>
      <c r="Q136" s="9"/>
    </row>
    <row r="137" spans="1:17" x14ac:dyDescent="0.2">
      <c r="A137" s="14"/>
      <c r="B137" s="6"/>
      <c r="C137" s="6"/>
      <c r="D137" s="6" t="str">
        <f>IFERROR(VLOOKUP(C137,Products!$A$2:$G$204,2,FALSE),"")</f>
        <v/>
      </c>
      <c r="E137" s="15"/>
      <c r="F137" s="7">
        <f>IFERROR(VLOOKUP(C137,Products!$A$2:$G$204,6,FALSE),0)</f>
        <v>0</v>
      </c>
      <c r="G137" s="7"/>
      <c r="H137" s="7"/>
      <c r="I137" s="7">
        <f>IF(OR(E137="",F137=""),0,MAX(0,(E137*F137-G137+H137)*IFERROR(VLOOKUP(C137,Products!$A$2:$G$204,7,FALSE),0)))</f>
        <v>0</v>
      </c>
      <c r="J137" s="7"/>
      <c r="K137" s="7">
        <f>IF(OR(E137="",F137=""),0,E137*F137)</f>
        <v>0</v>
      </c>
      <c r="L137" s="7">
        <f>IF(E137="",0,K137-G137+H137-I137-J137)</f>
        <v>0</v>
      </c>
      <c r="M137" s="7">
        <f>IFERROR(E137*VLOOKUP(C137,Products!$A$2:$G$204,4,FALSE),0)</f>
        <v>0</v>
      </c>
      <c r="N137" s="7">
        <f>IFERROR(E137*VLOOKUP(C137,Products!$A$2:$G$204,5,FALSE),0)</f>
        <v>0</v>
      </c>
      <c r="O137" s="7">
        <f>IF(E137="",0,L137-M137-N137)</f>
        <v>0</v>
      </c>
      <c r="P137" s="6"/>
      <c r="Q137" s="6"/>
    </row>
    <row r="138" spans="1:17" x14ac:dyDescent="0.2">
      <c r="A138" s="12"/>
      <c r="B138" s="9"/>
      <c r="C138" s="9"/>
      <c r="D138" s="9" t="str">
        <f>IFERROR(VLOOKUP(C138,Products!$A$2:$G$204,2,FALSE),"")</f>
        <v/>
      </c>
      <c r="E138" s="13"/>
      <c r="F138" s="10">
        <f>IFERROR(VLOOKUP(C138,Products!$A$2:$G$204,6,FALSE),0)</f>
        <v>0</v>
      </c>
      <c r="G138" s="10"/>
      <c r="H138" s="10"/>
      <c r="I138" s="10">
        <f>IF(OR(E138="",F138=""),0,MAX(0,(E138*F138-G138+H138)*IFERROR(VLOOKUP(C138,Products!$A$2:$G$204,7,FALSE),0)))</f>
        <v>0</v>
      </c>
      <c r="J138" s="10"/>
      <c r="K138" s="10">
        <f>IF(OR(E138="",F138=""),0,E138*F138)</f>
        <v>0</v>
      </c>
      <c r="L138" s="10">
        <f>IF(E138="",0,K138-G138+H138-I138-J138)</f>
        <v>0</v>
      </c>
      <c r="M138" s="10">
        <f>IFERROR(E138*VLOOKUP(C138,Products!$A$2:$G$204,4,FALSE),0)</f>
        <v>0</v>
      </c>
      <c r="N138" s="10">
        <f>IFERROR(E138*VLOOKUP(C138,Products!$A$2:$G$204,5,FALSE),0)</f>
        <v>0</v>
      </c>
      <c r="O138" s="10">
        <f>IF(E138="",0,L138-M138-N138)</f>
        <v>0</v>
      </c>
      <c r="P138" s="9"/>
      <c r="Q138" s="9"/>
    </row>
    <row r="139" spans="1:17" x14ac:dyDescent="0.2">
      <c r="A139" s="14"/>
      <c r="B139" s="6"/>
      <c r="C139" s="6"/>
      <c r="D139" s="6" t="str">
        <f>IFERROR(VLOOKUP(C139,Products!$A$2:$G$204,2,FALSE),"")</f>
        <v/>
      </c>
      <c r="E139" s="15"/>
      <c r="F139" s="7">
        <f>IFERROR(VLOOKUP(C139,Products!$A$2:$G$204,6,FALSE),0)</f>
        <v>0</v>
      </c>
      <c r="G139" s="7"/>
      <c r="H139" s="7"/>
      <c r="I139" s="7">
        <f>IF(OR(E139="",F139=""),0,MAX(0,(E139*F139-G139+H139)*IFERROR(VLOOKUP(C139,Products!$A$2:$G$204,7,FALSE),0)))</f>
        <v>0</v>
      </c>
      <c r="J139" s="7"/>
      <c r="K139" s="7">
        <f>IF(OR(E139="",F139=""),0,E139*F139)</f>
        <v>0</v>
      </c>
      <c r="L139" s="7">
        <f>IF(E139="",0,K139-G139+H139-I139-J139)</f>
        <v>0</v>
      </c>
      <c r="M139" s="7">
        <f>IFERROR(E139*VLOOKUP(C139,Products!$A$2:$G$204,4,FALSE),0)</f>
        <v>0</v>
      </c>
      <c r="N139" s="7">
        <f>IFERROR(E139*VLOOKUP(C139,Products!$A$2:$G$204,5,FALSE),0)</f>
        <v>0</v>
      </c>
      <c r="O139" s="7">
        <f>IF(E139="",0,L139-M139-N139)</f>
        <v>0</v>
      </c>
      <c r="P139" s="6"/>
      <c r="Q139" s="6"/>
    </row>
    <row r="140" spans="1:17" x14ac:dyDescent="0.2">
      <c r="A140" s="12"/>
      <c r="B140" s="9"/>
      <c r="C140" s="9"/>
      <c r="D140" s="9" t="str">
        <f>IFERROR(VLOOKUP(C140,Products!$A$2:$G$204,2,FALSE),"")</f>
        <v/>
      </c>
      <c r="E140" s="13"/>
      <c r="F140" s="10">
        <f>IFERROR(VLOOKUP(C140,Products!$A$2:$G$204,6,FALSE),0)</f>
        <v>0</v>
      </c>
      <c r="G140" s="10"/>
      <c r="H140" s="10"/>
      <c r="I140" s="10">
        <f>IF(OR(E140="",F140=""),0,MAX(0,(E140*F140-G140+H140)*IFERROR(VLOOKUP(C140,Products!$A$2:$G$204,7,FALSE),0)))</f>
        <v>0</v>
      </c>
      <c r="J140" s="10"/>
      <c r="K140" s="10">
        <f>IF(OR(E140="",F140=""),0,E140*F140)</f>
        <v>0</v>
      </c>
      <c r="L140" s="10">
        <f>IF(E140="",0,K140-G140+H140-I140-J140)</f>
        <v>0</v>
      </c>
      <c r="M140" s="10">
        <f>IFERROR(E140*VLOOKUP(C140,Products!$A$2:$G$204,4,FALSE),0)</f>
        <v>0</v>
      </c>
      <c r="N140" s="10">
        <f>IFERROR(E140*VLOOKUP(C140,Products!$A$2:$G$204,5,FALSE),0)</f>
        <v>0</v>
      </c>
      <c r="O140" s="10">
        <f>IF(E140="",0,L140-M140-N140)</f>
        <v>0</v>
      </c>
      <c r="P140" s="9"/>
      <c r="Q140" s="9"/>
    </row>
    <row r="141" spans="1:17" x14ac:dyDescent="0.2">
      <c r="A141" s="14"/>
      <c r="B141" s="6"/>
      <c r="C141" s="6"/>
      <c r="D141" s="6" t="str">
        <f>IFERROR(VLOOKUP(C141,Products!$A$2:$G$204,2,FALSE),"")</f>
        <v/>
      </c>
      <c r="E141" s="15"/>
      <c r="F141" s="7">
        <f>IFERROR(VLOOKUP(C141,Products!$A$2:$G$204,6,FALSE),0)</f>
        <v>0</v>
      </c>
      <c r="G141" s="7"/>
      <c r="H141" s="7"/>
      <c r="I141" s="7">
        <f>IF(OR(E141="",F141=""),0,MAX(0,(E141*F141-G141+H141)*IFERROR(VLOOKUP(C141,Products!$A$2:$G$204,7,FALSE),0)))</f>
        <v>0</v>
      </c>
      <c r="J141" s="7"/>
      <c r="K141" s="7">
        <f>IF(OR(E141="",F141=""),0,E141*F141)</f>
        <v>0</v>
      </c>
      <c r="L141" s="7">
        <f>IF(E141="",0,K141-G141+H141-I141-J141)</f>
        <v>0</v>
      </c>
      <c r="M141" s="7">
        <f>IFERROR(E141*VLOOKUP(C141,Products!$A$2:$G$204,4,FALSE),0)</f>
        <v>0</v>
      </c>
      <c r="N141" s="7">
        <f>IFERROR(E141*VLOOKUP(C141,Products!$A$2:$G$204,5,FALSE),0)</f>
        <v>0</v>
      </c>
      <c r="O141" s="7">
        <f>IF(E141="",0,L141-M141-N141)</f>
        <v>0</v>
      </c>
      <c r="P141" s="6"/>
      <c r="Q141" s="6"/>
    </row>
    <row r="142" spans="1:17" x14ac:dyDescent="0.2">
      <c r="A142" s="12"/>
      <c r="B142" s="9"/>
      <c r="C142" s="9"/>
      <c r="D142" s="9" t="str">
        <f>IFERROR(VLOOKUP(C142,Products!$A$2:$G$204,2,FALSE),"")</f>
        <v/>
      </c>
      <c r="E142" s="13"/>
      <c r="F142" s="10">
        <f>IFERROR(VLOOKUP(C142,Products!$A$2:$G$204,6,FALSE),0)</f>
        <v>0</v>
      </c>
      <c r="G142" s="10"/>
      <c r="H142" s="10"/>
      <c r="I142" s="10">
        <f>IF(OR(E142="",F142=""),0,MAX(0,(E142*F142-G142+H142)*IFERROR(VLOOKUP(C142,Products!$A$2:$G$204,7,FALSE),0)))</f>
        <v>0</v>
      </c>
      <c r="J142" s="10"/>
      <c r="K142" s="10">
        <f>IF(OR(E142="",F142=""),0,E142*F142)</f>
        <v>0</v>
      </c>
      <c r="L142" s="10">
        <f>IF(E142="",0,K142-G142+H142-I142-J142)</f>
        <v>0</v>
      </c>
      <c r="M142" s="10">
        <f>IFERROR(E142*VLOOKUP(C142,Products!$A$2:$G$204,4,FALSE),0)</f>
        <v>0</v>
      </c>
      <c r="N142" s="10">
        <f>IFERROR(E142*VLOOKUP(C142,Products!$A$2:$G$204,5,FALSE),0)</f>
        <v>0</v>
      </c>
      <c r="O142" s="10">
        <f>IF(E142="",0,L142-M142-N142)</f>
        <v>0</v>
      </c>
      <c r="P142" s="9"/>
      <c r="Q142" s="9"/>
    </row>
    <row r="143" spans="1:17" x14ac:dyDescent="0.2">
      <c r="A143" s="14"/>
      <c r="B143" s="6"/>
      <c r="C143" s="6"/>
      <c r="D143" s="6" t="str">
        <f>IFERROR(VLOOKUP(C143,Products!$A$2:$G$204,2,FALSE),"")</f>
        <v/>
      </c>
      <c r="E143" s="15"/>
      <c r="F143" s="7">
        <f>IFERROR(VLOOKUP(C143,Products!$A$2:$G$204,6,FALSE),0)</f>
        <v>0</v>
      </c>
      <c r="G143" s="7"/>
      <c r="H143" s="7"/>
      <c r="I143" s="7">
        <f>IF(OR(E143="",F143=""),0,MAX(0,(E143*F143-G143+H143)*IFERROR(VLOOKUP(C143,Products!$A$2:$G$204,7,FALSE),0)))</f>
        <v>0</v>
      </c>
      <c r="J143" s="7"/>
      <c r="K143" s="7">
        <f>IF(OR(E143="",F143=""),0,E143*F143)</f>
        <v>0</v>
      </c>
      <c r="L143" s="7">
        <f>IF(E143="",0,K143-G143+H143-I143-J143)</f>
        <v>0</v>
      </c>
      <c r="M143" s="7">
        <f>IFERROR(E143*VLOOKUP(C143,Products!$A$2:$G$204,4,FALSE),0)</f>
        <v>0</v>
      </c>
      <c r="N143" s="7">
        <f>IFERROR(E143*VLOOKUP(C143,Products!$A$2:$G$204,5,FALSE),0)</f>
        <v>0</v>
      </c>
      <c r="O143" s="7">
        <f>IF(E143="",0,L143-M143-N143)</f>
        <v>0</v>
      </c>
      <c r="P143" s="6"/>
      <c r="Q143" s="6"/>
    </row>
    <row r="144" spans="1:17" x14ac:dyDescent="0.2">
      <c r="A144" s="12"/>
      <c r="B144" s="9"/>
      <c r="C144" s="9"/>
      <c r="D144" s="9" t="str">
        <f>IFERROR(VLOOKUP(C144,Products!$A$2:$G$204,2,FALSE),"")</f>
        <v/>
      </c>
      <c r="E144" s="13"/>
      <c r="F144" s="10">
        <f>IFERROR(VLOOKUP(C144,Products!$A$2:$G$204,6,FALSE),0)</f>
        <v>0</v>
      </c>
      <c r="G144" s="10"/>
      <c r="H144" s="10"/>
      <c r="I144" s="10">
        <f>IF(OR(E144="",F144=""),0,MAX(0,(E144*F144-G144+H144)*IFERROR(VLOOKUP(C144,Products!$A$2:$G$204,7,FALSE),0)))</f>
        <v>0</v>
      </c>
      <c r="J144" s="10"/>
      <c r="K144" s="10">
        <f>IF(OR(E144="",F144=""),0,E144*F144)</f>
        <v>0</v>
      </c>
      <c r="L144" s="10">
        <f>IF(E144="",0,K144-G144+H144-I144-J144)</f>
        <v>0</v>
      </c>
      <c r="M144" s="10">
        <f>IFERROR(E144*VLOOKUP(C144,Products!$A$2:$G$204,4,FALSE),0)</f>
        <v>0</v>
      </c>
      <c r="N144" s="10">
        <f>IFERROR(E144*VLOOKUP(C144,Products!$A$2:$G$204,5,FALSE),0)</f>
        <v>0</v>
      </c>
      <c r="O144" s="10">
        <f>IF(E144="",0,L144-M144-N144)</f>
        <v>0</v>
      </c>
      <c r="P144" s="9"/>
      <c r="Q144" s="9"/>
    </row>
    <row r="145" spans="1:17" x14ac:dyDescent="0.2">
      <c r="A145" s="14"/>
      <c r="B145" s="6"/>
      <c r="C145" s="6"/>
      <c r="D145" s="6" t="str">
        <f>IFERROR(VLOOKUP(C145,Products!$A$2:$G$204,2,FALSE),"")</f>
        <v/>
      </c>
      <c r="E145" s="15"/>
      <c r="F145" s="7">
        <f>IFERROR(VLOOKUP(C145,Products!$A$2:$G$204,6,FALSE),0)</f>
        <v>0</v>
      </c>
      <c r="G145" s="7"/>
      <c r="H145" s="7"/>
      <c r="I145" s="7">
        <f>IF(OR(E145="",F145=""),0,MAX(0,(E145*F145-G145+H145)*IFERROR(VLOOKUP(C145,Products!$A$2:$G$204,7,FALSE),0)))</f>
        <v>0</v>
      </c>
      <c r="J145" s="7"/>
      <c r="K145" s="7">
        <f>IF(OR(E145="",F145=""),0,E145*F145)</f>
        <v>0</v>
      </c>
      <c r="L145" s="7">
        <f>IF(E145="",0,K145-G145+H145-I145-J145)</f>
        <v>0</v>
      </c>
      <c r="M145" s="7">
        <f>IFERROR(E145*VLOOKUP(C145,Products!$A$2:$G$204,4,FALSE),0)</f>
        <v>0</v>
      </c>
      <c r="N145" s="7">
        <f>IFERROR(E145*VLOOKUP(C145,Products!$A$2:$G$204,5,FALSE),0)</f>
        <v>0</v>
      </c>
      <c r="O145" s="7">
        <f>IF(E145="",0,L145-M145-N145)</f>
        <v>0</v>
      </c>
      <c r="P145" s="6"/>
      <c r="Q145" s="6"/>
    </row>
    <row r="146" spans="1:17" x14ac:dyDescent="0.2">
      <c r="A146" s="12"/>
      <c r="B146" s="9"/>
      <c r="C146" s="9"/>
      <c r="D146" s="9" t="str">
        <f>IFERROR(VLOOKUP(C146,Products!$A$2:$G$204,2,FALSE),"")</f>
        <v/>
      </c>
      <c r="E146" s="13"/>
      <c r="F146" s="10">
        <f>IFERROR(VLOOKUP(C146,Products!$A$2:$G$204,6,FALSE),0)</f>
        <v>0</v>
      </c>
      <c r="G146" s="10"/>
      <c r="H146" s="10"/>
      <c r="I146" s="10">
        <f>IF(OR(E146="",F146=""),0,MAX(0,(E146*F146-G146+H146)*IFERROR(VLOOKUP(C146,Products!$A$2:$G$204,7,FALSE),0)))</f>
        <v>0</v>
      </c>
      <c r="J146" s="10"/>
      <c r="K146" s="10">
        <f>IF(OR(E146="",F146=""),0,E146*F146)</f>
        <v>0</v>
      </c>
      <c r="L146" s="10">
        <f>IF(E146="",0,K146-G146+H146-I146-J146)</f>
        <v>0</v>
      </c>
      <c r="M146" s="10">
        <f>IFERROR(E146*VLOOKUP(C146,Products!$A$2:$G$204,4,FALSE),0)</f>
        <v>0</v>
      </c>
      <c r="N146" s="10">
        <f>IFERROR(E146*VLOOKUP(C146,Products!$A$2:$G$204,5,FALSE),0)</f>
        <v>0</v>
      </c>
      <c r="O146" s="10">
        <f>IF(E146="",0,L146-M146-N146)</f>
        <v>0</v>
      </c>
      <c r="P146" s="9"/>
      <c r="Q146" s="9"/>
    </row>
    <row r="147" spans="1:17" x14ac:dyDescent="0.2">
      <c r="A147" s="14"/>
      <c r="B147" s="6"/>
      <c r="C147" s="6"/>
      <c r="D147" s="6" t="str">
        <f>IFERROR(VLOOKUP(C147,Products!$A$2:$G$204,2,FALSE),"")</f>
        <v/>
      </c>
      <c r="E147" s="15"/>
      <c r="F147" s="7">
        <f>IFERROR(VLOOKUP(C147,Products!$A$2:$G$204,6,FALSE),0)</f>
        <v>0</v>
      </c>
      <c r="G147" s="7"/>
      <c r="H147" s="7"/>
      <c r="I147" s="7">
        <f>IF(OR(E147="",F147=""),0,MAX(0,(E147*F147-G147+H147)*IFERROR(VLOOKUP(C147,Products!$A$2:$G$204,7,FALSE),0)))</f>
        <v>0</v>
      </c>
      <c r="J147" s="7"/>
      <c r="K147" s="7">
        <f>IF(OR(E147="",F147=""),0,E147*F147)</f>
        <v>0</v>
      </c>
      <c r="L147" s="7">
        <f>IF(E147="",0,K147-G147+H147-I147-J147)</f>
        <v>0</v>
      </c>
      <c r="M147" s="7">
        <f>IFERROR(E147*VLOOKUP(C147,Products!$A$2:$G$204,4,FALSE),0)</f>
        <v>0</v>
      </c>
      <c r="N147" s="7">
        <f>IFERROR(E147*VLOOKUP(C147,Products!$A$2:$G$204,5,FALSE),0)</f>
        <v>0</v>
      </c>
      <c r="O147" s="7">
        <f>IF(E147="",0,L147-M147-N147)</f>
        <v>0</v>
      </c>
      <c r="P147" s="6"/>
      <c r="Q147" s="6"/>
    </row>
    <row r="148" spans="1:17" x14ac:dyDescent="0.2">
      <c r="A148" s="12"/>
      <c r="B148" s="9"/>
      <c r="C148" s="9"/>
      <c r="D148" s="9" t="str">
        <f>IFERROR(VLOOKUP(C148,Products!$A$2:$G$204,2,FALSE),"")</f>
        <v/>
      </c>
      <c r="E148" s="13"/>
      <c r="F148" s="10">
        <f>IFERROR(VLOOKUP(C148,Products!$A$2:$G$204,6,FALSE),0)</f>
        <v>0</v>
      </c>
      <c r="G148" s="10"/>
      <c r="H148" s="10"/>
      <c r="I148" s="10">
        <f>IF(OR(E148="",F148=""),0,MAX(0,(E148*F148-G148+H148)*IFERROR(VLOOKUP(C148,Products!$A$2:$G$204,7,FALSE),0)))</f>
        <v>0</v>
      </c>
      <c r="J148" s="10"/>
      <c r="K148" s="10">
        <f>IF(OR(E148="",F148=""),0,E148*F148)</f>
        <v>0</v>
      </c>
      <c r="L148" s="10">
        <f>IF(E148="",0,K148-G148+H148-I148-J148)</f>
        <v>0</v>
      </c>
      <c r="M148" s="10">
        <f>IFERROR(E148*VLOOKUP(C148,Products!$A$2:$G$204,4,FALSE),0)</f>
        <v>0</v>
      </c>
      <c r="N148" s="10">
        <f>IFERROR(E148*VLOOKUP(C148,Products!$A$2:$G$204,5,FALSE),0)</f>
        <v>0</v>
      </c>
      <c r="O148" s="10">
        <f>IF(E148="",0,L148-M148-N148)</f>
        <v>0</v>
      </c>
      <c r="P148" s="9"/>
      <c r="Q148" s="9"/>
    </row>
    <row r="149" spans="1:17" x14ac:dyDescent="0.2">
      <c r="A149" s="14"/>
      <c r="B149" s="6"/>
      <c r="C149" s="6"/>
      <c r="D149" s="6" t="str">
        <f>IFERROR(VLOOKUP(C149,Products!$A$2:$G$204,2,FALSE),"")</f>
        <v/>
      </c>
      <c r="E149" s="15"/>
      <c r="F149" s="7">
        <f>IFERROR(VLOOKUP(C149,Products!$A$2:$G$204,6,FALSE),0)</f>
        <v>0</v>
      </c>
      <c r="G149" s="7"/>
      <c r="H149" s="7"/>
      <c r="I149" s="7">
        <f>IF(OR(E149="",F149=""),0,MAX(0,(E149*F149-G149+H149)*IFERROR(VLOOKUP(C149,Products!$A$2:$G$204,7,FALSE),0)))</f>
        <v>0</v>
      </c>
      <c r="J149" s="7"/>
      <c r="K149" s="7">
        <f>IF(OR(E149="",F149=""),0,E149*F149)</f>
        <v>0</v>
      </c>
      <c r="L149" s="7">
        <f>IF(E149="",0,K149-G149+H149-I149-J149)</f>
        <v>0</v>
      </c>
      <c r="M149" s="7">
        <f>IFERROR(E149*VLOOKUP(C149,Products!$A$2:$G$204,4,FALSE),0)</f>
        <v>0</v>
      </c>
      <c r="N149" s="7">
        <f>IFERROR(E149*VLOOKUP(C149,Products!$A$2:$G$204,5,FALSE),0)</f>
        <v>0</v>
      </c>
      <c r="O149" s="7">
        <f>IF(E149="",0,L149-M149-N149)</f>
        <v>0</v>
      </c>
      <c r="P149" s="6"/>
      <c r="Q149" s="6"/>
    </row>
    <row r="150" spans="1:17" x14ac:dyDescent="0.2">
      <c r="A150" s="12"/>
      <c r="B150" s="9"/>
      <c r="C150" s="9"/>
      <c r="D150" s="9" t="str">
        <f>IFERROR(VLOOKUP(C150,Products!$A$2:$G$204,2,FALSE),"")</f>
        <v/>
      </c>
      <c r="E150" s="13"/>
      <c r="F150" s="10">
        <f>IFERROR(VLOOKUP(C150,Products!$A$2:$G$204,6,FALSE),0)</f>
        <v>0</v>
      </c>
      <c r="G150" s="10"/>
      <c r="H150" s="10"/>
      <c r="I150" s="10">
        <f>IF(OR(E150="",F150=""),0,MAX(0,(E150*F150-G150+H150)*IFERROR(VLOOKUP(C150,Products!$A$2:$G$204,7,FALSE),0)))</f>
        <v>0</v>
      </c>
      <c r="J150" s="10"/>
      <c r="K150" s="10">
        <f>IF(OR(E150="",F150=""),0,E150*F150)</f>
        <v>0</v>
      </c>
      <c r="L150" s="10">
        <f>IF(E150="",0,K150-G150+H150-I150-J150)</f>
        <v>0</v>
      </c>
      <c r="M150" s="10">
        <f>IFERROR(E150*VLOOKUP(C150,Products!$A$2:$G$204,4,FALSE),0)</f>
        <v>0</v>
      </c>
      <c r="N150" s="10">
        <f>IFERROR(E150*VLOOKUP(C150,Products!$A$2:$G$204,5,FALSE),0)</f>
        <v>0</v>
      </c>
      <c r="O150" s="10">
        <f>IF(E150="",0,L150-M150-N150)</f>
        <v>0</v>
      </c>
      <c r="P150" s="9"/>
      <c r="Q150" s="9"/>
    </row>
    <row r="151" spans="1:17" x14ac:dyDescent="0.2">
      <c r="A151" s="14"/>
      <c r="B151" s="6"/>
      <c r="C151" s="6"/>
      <c r="D151" s="6" t="str">
        <f>IFERROR(VLOOKUP(C151,Products!$A$2:$G$204,2,FALSE),"")</f>
        <v/>
      </c>
      <c r="E151" s="15"/>
      <c r="F151" s="7">
        <f>IFERROR(VLOOKUP(C151,Products!$A$2:$G$204,6,FALSE),0)</f>
        <v>0</v>
      </c>
      <c r="G151" s="7"/>
      <c r="H151" s="7"/>
      <c r="I151" s="7">
        <f>IF(OR(E151="",F151=""),0,MAX(0,(E151*F151-G151+H151)*IFERROR(VLOOKUP(C151,Products!$A$2:$G$204,7,FALSE),0)))</f>
        <v>0</v>
      </c>
      <c r="J151" s="7"/>
      <c r="K151" s="7">
        <f>IF(OR(E151="",F151=""),0,E151*F151)</f>
        <v>0</v>
      </c>
      <c r="L151" s="7">
        <f>IF(E151="",0,K151-G151+H151-I151-J151)</f>
        <v>0</v>
      </c>
      <c r="M151" s="7">
        <f>IFERROR(E151*VLOOKUP(C151,Products!$A$2:$G$204,4,FALSE),0)</f>
        <v>0</v>
      </c>
      <c r="N151" s="7">
        <f>IFERROR(E151*VLOOKUP(C151,Products!$A$2:$G$204,5,FALSE),0)</f>
        <v>0</v>
      </c>
      <c r="O151" s="7">
        <f>IF(E151="",0,L151-M151-N151)</f>
        <v>0</v>
      </c>
      <c r="P151" s="6"/>
      <c r="Q151" s="6"/>
    </row>
    <row r="152" spans="1:17" x14ac:dyDescent="0.2">
      <c r="A152" s="12"/>
      <c r="B152" s="9"/>
      <c r="C152" s="9"/>
      <c r="D152" s="9" t="str">
        <f>IFERROR(VLOOKUP(C152,Products!$A$2:$G$204,2,FALSE),"")</f>
        <v/>
      </c>
      <c r="E152" s="13"/>
      <c r="F152" s="10">
        <f>IFERROR(VLOOKUP(C152,Products!$A$2:$G$204,6,FALSE),0)</f>
        <v>0</v>
      </c>
      <c r="G152" s="10"/>
      <c r="H152" s="10"/>
      <c r="I152" s="10">
        <f>IF(OR(E152="",F152=""),0,MAX(0,(E152*F152-G152+H152)*IFERROR(VLOOKUP(C152,Products!$A$2:$G$204,7,FALSE),0)))</f>
        <v>0</v>
      </c>
      <c r="J152" s="10"/>
      <c r="K152" s="10">
        <f>IF(OR(E152="",F152=""),0,E152*F152)</f>
        <v>0</v>
      </c>
      <c r="L152" s="10">
        <f>IF(E152="",0,K152-G152+H152-I152-J152)</f>
        <v>0</v>
      </c>
      <c r="M152" s="10">
        <f>IFERROR(E152*VLOOKUP(C152,Products!$A$2:$G$204,4,FALSE),0)</f>
        <v>0</v>
      </c>
      <c r="N152" s="10">
        <f>IFERROR(E152*VLOOKUP(C152,Products!$A$2:$G$204,5,FALSE),0)</f>
        <v>0</v>
      </c>
      <c r="O152" s="10">
        <f>IF(E152="",0,L152-M152-N152)</f>
        <v>0</v>
      </c>
      <c r="P152" s="9"/>
      <c r="Q152" s="9"/>
    </row>
    <row r="153" spans="1:17" x14ac:dyDescent="0.2">
      <c r="A153" s="14"/>
      <c r="B153" s="6"/>
      <c r="C153" s="6"/>
      <c r="D153" s="6" t="str">
        <f>IFERROR(VLOOKUP(C153,Products!$A$2:$G$204,2,FALSE),"")</f>
        <v/>
      </c>
      <c r="E153" s="15"/>
      <c r="F153" s="7">
        <f>IFERROR(VLOOKUP(C153,Products!$A$2:$G$204,6,FALSE),0)</f>
        <v>0</v>
      </c>
      <c r="G153" s="7"/>
      <c r="H153" s="7"/>
      <c r="I153" s="7">
        <f>IF(OR(E153="",F153=""),0,MAX(0,(E153*F153-G153+H153)*IFERROR(VLOOKUP(C153,Products!$A$2:$G$204,7,FALSE),0)))</f>
        <v>0</v>
      </c>
      <c r="J153" s="7"/>
      <c r="K153" s="7">
        <f>IF(OR(E153="",F153=""),0,E153*F153)</f>
        <v>0</v>
      </c>
      <c r="L153" s="7">
        <f>IF(E153="",0,K153-G153+H153-I153-J153)</f>
        <v>0</v>
      </c>
      <c r="M153" s="7">
        <f>IFERROR(E153*VLOOKUP(C153,Products!$A$2:$G$204,4,FALSE),0)</f>
        <v>0</v>
      </c>
      <c r="N153" s="7">
        <f>IFERROR(E153*VLOOKUP(C153,Products!$A$2:$G$204,5,FALSE),0)</f>
        <v>0</v>
      </c>
      <c r="O153" s="7">
        <f>IF(E153="",0,L153-M153-N153)</f>
        <v>0</v>
      </c>
      <c r="P153" s="6"/>
      <c r="Q153" s="6"/>
    </row>
    <row r="154" spans="1:17" x14ac:dyDescent="0.2">
      <c r="A154" s="12"/>
      <c r="B154" s="9"/>
      <c r="C154" s="9"/>
      <c r="D154" s="9" t="str">
        <f>IFERROR(VLOOKUP(C154,Products!$A$2:$G$204,2,FALSE),"")</f>
        <v/>
      </c>
      <c r="E154" s="13"/>
      <c r="F154" s="10">
        <f>IFERROR(VLOOKUP(C154,Products!$A$2:$G$204,6,FALSE),0)</f>
        <v>0</v>
      </c>
      <c r="G154" s="10"/>
      <c r="H154" s="10"/>
      <c r="I154" s="10">
        <f>IF(OR(E154="",F154=""),0,MAX(0,(E154*F154-G154+H154)*IFERROR(VLOOKUP(C154,Products!$A$2:$G$204,7,FALSE),0)))</f>
        <v>0</v>
      </c>
      <c r="J154" s="10"/>
      <c r="K154" s="10">
        <f>IF(OR(E154="",F154=""),0,E154*F154)</f>
        <v>0</v>
      </c>
      <c r="L154" s="10">
        <f>IF(E154="",0,K154-G154+H154-I154-J154)</f>
        <v>0</v>
      </c>
      <c r="M154" s="10">
        <f>IFERROR(E154*VLOOKUP(C154,Products!$A$2:$G$204,4,FALSE),0)</f>
        <v>0</v>
      </c>
      <c r="N154" s="10">
        <f>IFERROR(E154*VLOOKUP(C154,Products!$A$2:$G$204,5,FALSE),0)</f>
        <v>0</v>
      </c>
      <c r="O154" s="10">
        <f>IF(E154="",0,L154-M154-N154)</f>
        <v>0</v>
      </c>
      <c r="P154" s="9"/>
      <c r="Q154" s="9"/>
    </row>
    <row r="155" spans="1:17" x14ac:dyDescent="0.2">
      <c r="A155" s="14"/>
      <c r="B155" s="6"/>
      <c r="C155" s="6"/>
      <c r="D155" s="6" t="str">
        <f>IFERROR(VLOOKUP(C155,Products!$A$2:$G$204,2,FALSE),"")</f>
        <v/>
      </c>
      <c r="E155" s="15"/>
      <c r="F155" s="7">
        <f>IFERROR(VLOOKUP(C155,Products!$A$2:$G$204,6,FALSE),0)</f>
        <v>0</v>
      </c>
      <c r="G155" s="7"/>
      <c r="H155" s="7"/>
      <c r="I155" s="7">
        <f>IF(OR(E155="",F155=""),0,MAX(0,(E155*F155-G155+H155)*IFERROR(VLOOKUP(C155,Products!$A$2:$G$204,7,FALSE),0)))</f>
        <v>0</v>
      </c>
      <c r="J155" s="7"/>
      <c r="K155" s="7">
        <f>IF(OR(E155="",F155=""),0,E155*F155)</f>
        <v>0</v>
      </c>
      <c r="L155" s="7">
        <f>IF(E155="",0,K155-G155+H155-I155-J155)</f>
        <v>0</v>
      </c>
      <c r="M155" s="7">
        <f>IFERROR(E155*VLOOKUP(C155,Products!$A$2:$G$204,4,FALSE),0)</f>
        <v>0</v>
      </c>
      <c r="N155" s="7">
        <f>IFERROR(E155*VLOOKUP(C155,Products!$A$2:$G$204,5,FALSE),0)</f>
        <v>0</v>
      </c>
      <c r="O155" s="7">
        <f>IF(E155="",0,L155-M155-N155)</f>
        <v>0</v>
      </c>
      <c r="P155" s="6"/>
      <c r="Q155" s="6"/>
    </row>
    <row r="156" spans="1:17" x14ac:dyDescent="0.2">
      <c r="A156" s="12"/>
      <c r="B156" s="9"/>
      <c r="C156" s="9"/>
      <c r="D156" s="9" t="str">
        <f>IFERROR(VLOOKUP(C156,Products!$A$2:$G$204,2,FALSE),"")</f>
        <v/>
      </c>
      <c r="E156" s="13"/>
      <c r="F156" s="10">
        <f>IFERROR(VLOOKUP(C156,Products!$A$2:$G$204,6,FALSE),0)</f>
        <v>0</v>
      </c>
      <c r="G156" s="10"/>
      <c r="H156" s="10"/>
      <c r="I156" s="10">
        <f>IF(OR(E156="",F156=""),0,MAX(0,(E156*F156-G156+H156)*IFERROR(VLOOKUP(C156,Products!$A$2:$G$204,7,FALSE),0)))</f>
        <v>0</v>
      </c>
      <c r="J156" s="10"/>
      <c r="K156" s="10">
        <f>IF(OR(E156="",F156=""),0,E156*F156)</f>
        <v>0</v>
      </c>
      <c r="L156" s="10">
        <f>IF(E156="",0,K156-G156+H156-I156-J156)</f>
        <v>0</v>
      </c>
      <c r="M156" s="10">
        <f>IFERROR(E156*VLOOKUP(C156,Products!$A$2:$G$204,4,FALSE),0)</f>
        <v>0</v>
      </c>
      <c r="N156" s="10">
        <f>IFERROR(E156*VLOOKUP(C156,Products!$A$2:$G$204,5,FALSE),0)</f>
        <v>0</v>
      </c>
      <c r="O156" s="10">
        <f>IF(E156="",0,L156-M156-N156)</f>
        <v>0</v>
      </c>
      <c r="P156" s="9"/>
      <c r="Q156" s="9"/>
    </row>
    <row r="157" spans="1:17" x14ac:dyDescent="0.2">
      <c r="A157" s="14"/>
      <c r="B157" s="6"/>
      <c r="C157" s="6"/>
      <c r="D157" s="6" t="str">
        <f>IFERROR(VLOOKUP(C157,Products!$A$2:$G$204,2,FALSE),"")</f>
        <v/>
      </c>
      <c r="E157" s="15"/>
      <c r="F157" s="7">
        <f>IFERROR(VLOOKUP(C157,Products!$A$2:$G$204,6,FALSE),0)</f>
        <v>0</v>
      </c>
      <c r="G157" s="7"/>
      <c r="H157" s="7"/>
      <c r="I157" s="7">
        <f>IF(OR(E157="",F157=""),0,MAX(0,(E157*F157-G157+H157)*IFERROR(VLOOKUP(C157,Products!$A$2:$G$204,7,FALSE),0)))</f>
        <v>0</v>
      </c>
      <c r="J157" s="7"/>
      <c r="K157" s="7">
        <f>IF(OR(E157="",F157=""),0,E157*F157)</f>
        <v>0</v>
      </c>
      <c r="L157" s="7">
        <f>IF(E157="",0,K157-G157+H157-I157-J157)</f>
        <v>0</v>
      </c>
      <c r="M157" s="7">
        <f>IFERROR(E157*VLOOKUP(C157,Products!$A$2:$G$204,4,FALSE),0)</f>
        <v>0</v>
      </c>
      <c r="N157" s="7">
        <f>IFERROR(E157*VLOOKUP(C157,Products!$A$2:$G$204,5,FALSE),0)</f>
        <v>0</v>
      </c>
      <c r="O157" s="7">
        <f>IF(E157="",0,L157-M157-N157)</f>
        <v>0</v>
      </c>
      <c r="P157" s="6"/>
      <c r="Q157" s="6"/>
    </row>
    <row r="158" spans="1:17" x14ac:dyDescent="0.2">
      <c r="A158" s="12"/>
      <c r="B158" s="9"/>
      <c r="C158" s="9"/>
      <c r="D158" s="9" t="str">
        <f>IFERROR(VLOOKUP(C158,Products!$A$2:$G$204,2,FALSE),"")</f>
        <v/>
      </c>
      <c r="E158" s="13"/>
      <c r="F158" s="10">
        <f>IFERROR(VLOOKUP(C158,Products!$A$2:$G$204,6,FALSE),0)</f>
        <v>0</v>
      </c>
      <c r="G158" s="10"/>
      <c r="H158" s="10"/>
      <c r="I158" s="10">
        <f>IF(OR(E158="",F158=""),0,MAX(0,(E158*F158-G158+H158)*IFERROR(VLOOKUP(C158,Products!$A$2:$G$204,7,FALSE),0)))</f>
        <v>0</v>
      </c>
      <c r="J158" s="10"/>
      <c r="K158" s="10">
        <f>IF(OR(E158="",F158=""),0,E158*F158)</f>
        <v>0</v>
      </c>
      <c r="L158" s="10">
        <f>IF(E158="",0,K158-G158+H158-I158-J158)</f>
        <v>0</v>
      </c>
      <c r="M158" s="10">
        <f>IFERROR(E158*VLOOKUP(C158,Products!$A$2:$G$204,4,FALSE),0)</f>
        <v>0</v>
      </c>
      <c r="N158" s="10">
        <f>IFERROR(E158*VLOOKUP(C158,Products!$A$2:$G$204,5,FALSE),0)</f>
        <v>0</v>
      </c>
      <c r="O158" s="10">
        <f>IF(E158="",0,L158-M158-N158)</f>
        <v>0</v>
      </c>
      <c r="P158" s="9"/>
      <c r="Q158" s="9"/>
    </row>
    <row r="159" spans="1:17" x14ac:dyDescent="0.2">
      <c r="A159" s="14"/>
      <c r="B159" s="6"/>
      <c r="C159" s="6"/>
      <c r="D159" s="6" t="str">
        <f>IFERROR(VLOOKUP(C159,Products!$A$2:$G$204,2,FALSE),"")</f>
        <v/>
      </c>
      <c r="E159" s="15"/>
      <c r="F159" s="7">
        <f>IFERROR(VLOOKUP(C159,Products!$A$2:$G$204,6,FALSE),0)</f>
        <v>0</v>
      </c>
      <c r="G159" s="7"/>
      <c r="H159" s="7"/>
      <c r="I159" s="7">
        <f>IF(OR(E159="",F159=""),0,MAX(0,(E159*F159-G159+H159)*IFERROR(VLOOKUP(C159,Products!$A$2:$G$204,7,FALSE),0)))</f>
        <v>0</v>
      </c>
      <c r="J159" s="7"/>
      <c r="K159" s="7">
        <f>IF(OR(E159="",F159=""),0,E159*F159)</f>
        <v>0</v>
      </c>
      <c r="L159" s="7">
        <f>IF(E159="",0,K159-G159+H159-I159-J159)</f>
        <v>0</v>
      </c>
      <c r="M159" s="7">
        <f>IFERROR(E159*VLOOKUP(C159,Products!$A$2:$G$204,4,FALSE),0)</f>
        <v>0</v>
      </c>
      <c r="N159" s="7">
        <f>IFERROR(E159*VLOOKUP(C159,Products!$A$2:$G$204,5,FALSE),0)</f>
        <v>0</v>
      </c>
      <c r="O159" s="7">
        <f>IF(E159="",0,L159-M159-N159)</f>
        <v>0</v>
      </c>
      <c r="P159" s="6"/>
      <c r="Q159" s="6"/>
    </row>
    <row r="160" spans="1:17" x14ac:dyDescent="0.2">
      <c r="A160" s="12"/>
      <c r="B160" s="9"/>
      <c r="C160" s="9"/>
      <c r="D160" s="9" t="str">
        <f>IFERROR(VLOOKUP(C160,Products!$A$2:$G$204,2,FALSE),"")</f>
        <v/>
      </c>
      <c r="E160" s="13"/>
      <c r="F160" s="10">
        <f>IFERROR(VLOOKUP(C160,Products!$A$2:$G$204,6,FALSE),0)</f>
        <v>0</v>
      </c>
      <c r="G160" s="10"/>
      <c r="H160" s="10"/>
      <c r="I160" s="10">
        <f>IF(OR(E160="",F160=""),0,MAX(0,(E160*F160-G160+H160)*IFERROR(VLOOKUP(C160,Products!$A$2:$G$204,7,FALSE),0)))</f>
        <v>0</v>
      </c>
      <c r="J160" s="10"/>
      <c r="K160" s="10">
        <f>IF(OR(E160="",F160=""),0,E160*F160)</f>
        <v>0</v>
      </c>
      <c r="L160" s="10">
        <f>IF(E160="",0,K160-G160+H160-I160-J160)</f>
        <v>0</v>
      </c>
      <c r="M160" s="10">
        <f>IFERROR(E160*VLOOKUP(C160,Products!$A$2:$G$204,4,FALSE),0)</f>
        <v>0</v>
      </c>
      <c r="N160" s="10">
        <f>IFERROR(E160*VLOOKUP(C160,Products!$A$2:$G$204,5,FALSE),0)</f>
        <v>0</v>
      </c>
      <c r="O160" s="10">
        <f>IF(E160="",0,L160-M160-N160)</f>
        <v>0</v>
      </c>
      <c r="P160" s="9"/>
      <c r="Q160" s="9"/>
    </row>
    <row r="161" spans="1:17" x14ac:dyDescent="0.2">
      <c r="A161" s="14"/>
      <c r="B161" s="6"/>
      <c r="C161" s="6"/>
      <c r="D161" s="6" t="str">
        <f>IFERROR(VLOOKUP(C161,Products!$A$2:$G$204,2,FALSE),"")</f>
        <v/>
      </c>
      <c r="E161" s="15"/>
      <c r="F161" s="7">
        <f>IFERROR(VLOOKUP(C161,Products!$A$2:$G$204,6,FALSE),0)</f>
        <v>0</v>
      </c>
      <c r="G161" s="7"/>
      <c r="H161" s="7"/>
      <c r="I161" s="7">
        <f>IF(OR(E161="",F161=""),0,MAX(0,(E161*F161-G161+H161)*IFERROR(VLOOKUP(C161,Products!$A$2:$G$204,7,FALSE),0)))</f>
        <v>0</v>
      </c>
      <c r="J161" s="7"/>
      <c r="K161" s="7">
        <f>IF(OR(E161="",F161=""),0,E161*F161)</f>
        <v>0</v>
      </c>
      <c r="L161" s="7">
        <f>IF(E161="",0,K161-G161+H161-I161-J161)</f>
        <v>0</v>
      </c>
      <c r="M161" s="7">
        <f>IFERROR(E161*VLOOKUP(C161,Products!$A$2:$G$204,4,FALSE),0)</f>
        <v>0</v>
      </c>
      <c r="N161" s="7">
        <f>IFERROR(E161*VLOOKUP(C161,Products!$A$2:$G$204,5,FALSE),0)</f>
        <v>0</v>
      </c>
      <c r="O161" s="7">
        <f>IF(E161="",0,L161-M161-N161)</f>
        <v>0</v>
      </c>
      <c r="P161" s="6"/>
      <c r="Q161" s="6"/>
    </row>
    <row r="162" spans="1:17" x14ac:dyDescent="0.2">
      <c r="A162" s="12"/>
      <c r="B162" s="9"/>
      <c r="C162" s="9"/>
      <c r="D162" s="9" t="str">
        <f>IFERROR(VLOOKUP(C162,Products!$A$2:$G$204,2,FALSE),"")</f>
        <v/>
      </c>
      <c r="E162" s="13"/>
      <c r="F162" s="10">
        <f>IFERROR(VLOOKUP(C162,Products!$A$2:$G$204,6,FALSE),0)</f>
        <v>0</v>
      </c>
      <c r="G162" s="10"/>
      <c r="H162" s="10"/>
      <c r="I162" s="10">
        <f>IF(OR(E162="",F162=""),0,MAX(0,(E162*F162-G162+H162)*IFERROR(VLOOKUP(C162,Products!$A$2:$G$204,7,FALSE),0)))</f>
        <v>0</v>
      </c>
      <c r="J162" s="10"/>
      <c r="K162" s="10">
        <f>IF(OR(E162="",F162=""),0,E162*F162)</f>
        <v>0</v>
      </c>
      <c r="L162" s="10">
        <f>IF(E162="",0,K162-G162+H162-I162-J162)</f>
        <v>0</v>
      </c>
      <c r="M162" s="10">
        <f>IFERROR(E162*VLOOKUP(C162,Products!$A$2:$G$204,4,FALSE),0)</f>
        <v>0</v>
      </c>
      <c r="N162" s="10">
        <f>IFERROR(E162*VLOOKUP(C162,Products!$A$2:$G$204,5,FALSE),0)</f>
        <v>0</v>
      </c>
      <c r="O162" s="10">
        <f>IF(E162="",0,L162-M162-N162)</f>
        <v>0</v>
      </c>
      <c r="P162" s="9"/>
      <c r="Q162" s="9"/>
    </row>
    <row r="163" spans="1:17" x14ac:dyDescent="0.2">
      <c r="A163" s="14"/>
      <c r="B163" s="6"/>
      <c r="C163" s="6"/>
      <c r="D163" s="6" t="str">
        <f>IFERROR(VLOOKUP(C163,Products!$A$2:$G$204,2,FALSE),"")</f>
        <v/>
      </c>
      <c r="E163" s="15"/>
      <c r="F163" s="7">
        <f>IFERROR(VLOOKUP(C163,Products!$A$2:$G$204,6,FALSE),0)</f>
        <v>0</v>
      </c>
      <c r="G163" s="7"/>
      <c r="H163" s="7"/>
      <c r="I163" s="7">
        <f>IF(OR(E163="",F163=""),0,MAX(0,(E163*F163-G163+H163)*IFERROR(VLOOKUP(C163,Products!$A$2:$G$204,7,FALSE),0)))</f>
        <v>0</v>
      </c>
      <c r="J163" s="7"/>
      <c r="K163" s="7">
        <f>IF(OR(E163="",F163=""),0,E163*F163)</f>
        <v>0</v>
      </c>
      <c r="L163" s="7">
        <f>IF(E163="",0,K163-G163+H163-I163-J163)</f>
        <v>0</v>
      </c>
      <c r="M163" s="7">
        <f>IFERROR(E163*VLOOKUP(C163,Products!$A$2:$G$204,4,FALSE),0)</f>
        <v>0</v>
      </c>
      <c r="N163" s="7">
        <f>IFERROR(E163*VLOOKUP(C163,Products!$A$2:$G$204,5,FALSE),0)</f>
        <v>0</v>
      </c>
      <c r="O163" s="7">
        <f>IF(E163="",0,L163-M163-N163)</f>
        <v>0</v>
      </c>
      <c r="P163" s="6"/>
      <c r="Q163" s="6"/>
    </row>
    <row r="164" spans="1:17" x14ac:dyDescent="0.2">
      <c r="A164" s="12"/>
      <c r="B164" s="9"/>
      <c r="C164" s="9"/>
      <c r="D164" s="9" t="str">
        <f>IFERROR(VLOOKUP(C164,Products!$A$2:$G$204,2,FALSE),"")</f>
        <v/>
      </c>
      <c r="E164" s="13"/>
      <c r="F164" s="10">
        <f>IFERROR(VLOOKUP(C164,Products!$A$2:$G$204,6,FALSE),0)</f>
        <v>0</v>
      </c>
      <c r="G164" s="10"/>
      <c r="H164" s="10"/>
      <c r="I164" s="10">
        <f>IF(OR(E164="",F164=""),0,MAX(0,(E164*F164-G164+H164)*IFERROR(VLOOKUP(C164,Products!$A$2:$G$204,7,FALSE),0)))</f>
        <v>0</v>
      </c>
      <c r="J164" s="10"/>
      <c r="K164" s="10">
        <f>IF(OR(E164="",F164=""),0,E164*F164)</f>
        <v>0</v>
      </c>
      <c r="L164" s="10">
        <f>IF(E164="",0,K164-G164+H164-I164-J164)</f>
        <v>0</v>
      </c>
      <c r="M164" s="10">
        <f>IFERROR(E164*VLOOKUP(C164,Products!$A$2:$G$204,4,FALSE),0)</f>
        <v>0</v>
      </c>
      <c r="N164" s="10">
        <f>IFERROR(E164*VLOOKUP(C164,Products!$A$2:$G$204,5,FALSE),0)</f>
        <v>0</v>
      </c>
      <c r="O164" s="10">
        <f>IF(E164="",0,L164-M164-N164)</f>
        <v>0</v>
      </c>
      <c r="P164" s="9"/>
      <c r="Q164" s="9"/>
    </row>
    <row r="165" spans="1:17" x14ac:dyDescent="0.2">
      <c r="A165" s="14"/>
      <c r="B165" s="6"/>
      <c r="C165" s="6"/>
      <c r="D165" s="6" t="str">
        <f>IFERROR(VLOOKUP(C165,Products!$A$2:$G$204,2,FALSE),"")</f>
        <v/>
      </c>
      <c r="E165" s="15"/>
      <c r="F165" s="7">
        <f>IFERROR(VLOOKUP(C165,Products!$A$2:$G$204,6,FALSE),0)</f>
        <v>0</v>
      </c>
      <c r="G165" s="7"/>
      <c r="H165" s="7"/>
      <c r="I165" s="7">
        <f>IF(OR(E165="",F165=""),0,MAX(0,(E165*F165-G165+H165)*IFERROR(VLOOKUP(C165,Products!$A$2:$G$204,7,FALSE),0)))</f>
        <v>0</v>
      </c>
      <c r="J165" s="7"/>
      <c r="K165" s="7">
        <f>IF(OR(E165="",F165=""),0,E165*F165)</f>
        <v>0</v>
      </c>
      <c r="L165" s="7">
        <f>IF(E165="",0,K165-G165+H165-I165-J165)</f>
        <v>0</v>
      </c>
      <c r="M165" s="7">
        <f>IFERROR(E165*VLOOKUP(C165,Products!$A$2:$G$204,4,FALSE),0)</f>
        <v>0</v>
      </c>
      <c r="N165" s="7">
        <f>IFERROR(E165*VLOOKUP(C165,Products!$A$2:$G$204,5,FALSE),0)</f>
        <v>0</v>
      </c>
      <c r="O165" s="7">
        <f>IF(E165="",0,L165-M165-N165)</f>
        <v>0</v>
      </c>
      <c r="P165" s="6"/>
      <c r="Q165" s="6"/>
    </row>
    <row r="166" spans="1:17" x14ac:dyDescent="0.2">
      <c r="A166" s="12"/>
      <c r="B166" s="9"/>
      <c r="C166" s="9"/>
      <c r="D166" s="9" t="str">
        <f>IFERROR(VLOOKUP(C166,Products!$A$2:$G$204,2,FALSE),"")</f>
        <v/>
      </c>
      <c r="E166" s="13"/>
      <c r="F166" s="10">
        <f>IFERROR(VLOOKUP(C166,Products!$A$2:$G$204,6,FALSE),0)</f>
        <v>0</v>
      </c>
      <c r="G166" s="10"/>
      <c r="H166" s="10"/>
      <c r="I166" s="10">
        <f>IF(OR(E166="",F166=""),0,MAX(0,(E166*F166-G166+H166)*IFERROR(VLOOKUP(C166,Products!$A$2:$G$204,7,FALSE),0)))</f>
        <v>0</v>
      </c>
      <c r="J166" s="10"/>
      <c r="K166" s="10">
        <f>IF(OR(E166="",F166=""),0,E166*F166)</f>
        <v>0</v>
      </c>
      <c r="L166" s="10">
        <f>IF(E166="",0,K166-G166+H166-I166-J166)</f>
        <v>0</v>
      </c>
      <c r="M166" s="10">
        <f>IFERROR(E166*VLOOKUP(C166,Products!$A$2:$G$204,4,FALSE),0)</f>
        <v>0</v>
      </c>
      <c r="N166" s="10">
        <f>IFERROR(E166*VLOOKUP(C166,Products!$A$2:$G$204,5,FALSE),0)</f>
        <v>0</v>
      </c>
      <c r="O166" s="10">
        <f>IF(E166="",0,L166-M166-N166)</f>
        <v>0</v>
      </c>
      <c r="P166" s="9"/>
      <c r="Q166" s="9"/>
    </row>
    <row r="167" spans="1:17" x14ac:dyDescent="0.2">
      <c r="A167" s="14"/>
      <c r="B167" s="6"/>
      <c r="C167" s="6"/>
      <c r="D167" s="6" t="str">
        <f>IFERROR(VLOOKUP(C167,Products!$A$2:$G$204,2,FALSE),"")</f>
        <v/>
      </c>
      <c r="E167" s="15"/>
      <c r="F167" s="7">
        <f>IFERROR(VLOOKUP(C167,Products!$A$2:$G$204,6,FALSE),0)</f>
        <v>0</v>
      </c>
      <c r="G167" s="7"/>
      <c r="H167" s="7"/>
      <c r="I167" s="7">
        <f>IF(OR(E167="",F167=""),0,MAX(0,(E167*F167-G167+H167)*IFERROR(VLOOKUP(C167,Products!$A$2:$G$204,7,FALSE),0)))</f>
        <v>0</v>
      </c>
      <c r="J167" s="7"/>
      <c r="K167" s="7">
        <f>IF(OR(E167="",F167=""),0,E167*F167)</f>
        <v>0</v>
      </c>
      <c r="L167" s="7">
        <f>IF(E167="",0,K167-G167+H167-I167-J167)</f>
        <v>0</v>
      </c>
      <c r="M167" s="7">
        <f>IFERROR(E167*VLOOKUP(C167,Products!$A$2:$G$204,4,FALSE),0)</f>
        <v>0</v>
      </c>
      <c r="N167" s="7">
        <f>IFERROR(E167*VLOOKUP(C167,Products!$A$2:$G$204,5,FALSE),0)</f>
        <v>0</v>
      </c>
      <c r="O167" s="7">
        <f>IF(E167="",0,L167-M167-N167)</f>
        <v>0</v>
      </c>
      <c r="P167" s="6"/>
      <c r="Q167" s="6"/>
    </row>
    <row r="168" spans="1:17" x14ac:dyDescent="0.2">
      <c r="A168" s="12"/>
      <c r="B168" s="9"/>
      <c r="C168" s="9"/>
      <c r="D168" s="9" t="str">
        <f>IFERROR(VLOOKUP(C168,Products!$A$2:$G$204,2,FALSE),"")</f>
        <v/>
      </c>
      <c r="E168" s="13"/>
      <c r="F168" s="10">
        <f>IFERROR(VLOOKUP(C168,Products!$A$2:$G$204,6,FALSE),0)</f>
        <v>0</v>
      </c>
      <c r="G168" s="10"/>
      <c r="H168" s="10"/>
      <c r="I168" s="10">
        <f>IF(OR(E168="",F168=""),0,MAX(0,(E168*F168-G168+H168)*IFERROR(VLOOKUP(C168,Products!$A$2:$G$204,7,FALSE),0)))</f>
        <v>0</v>
      </c>
      <c r="J168" s="10"/>
      <c r="K168" s="10">
        <f>IF(OR(E168="",F168=""),0,E168*F168)</f>
        <v>0</v>
      </c>
      <c r="L168" s="10">
        <f>IF(E168="",0,K168-G168+H168-I168-J168)</f>
        <v>0</v>
      </c>
      <c r="M168" s="10">
        <f>IFERROR(E168*VLOOKUP(C168,Products!$A$2:$G$204,4,FALSE),0)</f>
        <v>0</v>
      </c>
      <c r="N168" s="10">
        <f>IFERROR(E168*VLOOKUP(C168,Products!$A$2:$G$204,5,FALSE),0)</f>
        <v>0</v>
      </c>
      <c r="O168" s="10">
        <f>IF(E168="",0,L168-M168-N168)</f>
        <v>0</v>
      </c>
      <c r="P168" s="9"/>
      <c r="Q168" s="9"/>
    </row>
    <row r="169" spans="1:17" x14ac:dyDescent="0.2">
      <c r="A169" s="14"/>
      <c r="B169" s="6"/>
      <c r="C169" s="6"/>
      <c r="D169" s="6" t="str">
        <f>IFERROR(VLOOKUP(C169,Products!$A$2:$G$204,2,FALSE),"")</f>
        <v/>
      </c>
      <c r="E169" s="15"/>
      <c r="F169" s="7">
        <f>IFERROR(VLOOKUP(C169,Products!$A$2:$G$204,6,FALSE),0)</f>
        <v>0</v>
      </c>
      <c r="G169" s="7"/>
      <c r="H169" s="7"/>
      <c r="I169" s="7">
        <f>IF(OR(E169="",F169=""),0,MAX(0,(E169*F169-G169+H169)*IFERROR(VLOOKUP(C169,Products!$A$2:$G$204,7,FALSE),0)))</f>
        <v>0</v>
      </c>
      <c r="J169" s="7"/>
      <c r="K169" s="7">
        <f>IF(OR(E169="",F169=""),0,E169*F169)</f>
        <v>0</v>
      </c>
      <c r="L169" s="7">
        <f>IF(E169="",0,K169-G169+H169-I169-J169)</f>
        <v>0</v>
      </c>
      <c r="M169" s="7">
        <f>IFERROR(E169*VLOOKUP(C169,Products!$A$2:$G$204,4,FALSE),0)</f>
        <v>0</v>
      </c>
      <c r="N169" s="7">
        <f>IFERROR(E169*VLOOKUP(C169,Products!$A$2:$G$204,5,FALSE),0)</f>
        <v>0</v>
      </c>
      <c r="O169" s="7">
        <f>IF(E169="",0,L169-M169-N169)</f>
        <v>0</v>
      </c>
      <c r="P169" s="6"/>
      <c r="Q169" s="6"/>
    </row>
    <row r="170" spans="1:17" x14ac:dyDescent="0.2">
      <c r="A170" s="12"/>
      <c r="B170" s="9"/>
      <c r="C170" s="9"/>
      <c r="D170" s="9" t="str">
        <f>IFERROR(VLOOKUP(C170,Products!$A$2:$G$204,2,FALSE),"")</f>
        <v/>
      </c>
      <c r="E170" s="13"/>
      <c r="F170" s="10">
        <f>IFERROR(VLOOKUP(C170,Products!$A$2:$G$204,6,FALSE),0)</f>
        <v>0</v>
      </c>
      <c r="G170" s="10"/>
      <c r="H170" s="10"/>
      <c r="I170" s="10">
        <f>IF(OR(E170="",F170=""),0,MAX(0,(E170*F170-G170+H170)*IFERROR(VLOOKUP(C170,Products!$A$2:$G$204,7,FALSE),0)))</f>
        <v>0</v>
      </c>
      <c r="J170" s="10"/>
      <c r="K170" s="10">
        <f>IF(OR(E170="",F170=""),0,E170*F170)</f>
        <v>0</v>
      </c>
      <c r="L170" s="10">
        <f>IF(E170="",0,K170-G170+H170-I170-J170)</f>
        <v>0</v>
      </c>
      <c r="M170" s="10">
        <f>IFERROR(E170*VLOOKUP(C170,Products!$A$2:$G$204,4,FALSE),0)</f>
        <v>0</v>
      </c>
      <c r="N170" s="10">
        <f>IFERROR(E170*VLOOKUP(C170,Products!$A$2:$G$204,5,FALSE),0)</f>
        <v>0</v>
      </c>
      <c r="O170" s="10">
        <f>IF(E170="",0,L170-M170-N170)</f>
        <v>0</v>
      </c>
      <c r="P170" s="9"/>
      <c r="Q170" s="9"/>
    </row>
    <row r="171" spans="1:17" x14ac:dyDescent="0.2">
      <c r="A171" s="14"/>
      <c r="B171" s="6"/>
      <c r="C171" s="6"/>
      <c r="D171" s="6" t="str">
        <f>IFERROR(VLOOKUP(C171,Products!$A$2:$G$204,2,FALSE),"")</f>
        <v/>
      </c>
      <c r="E171" s="15"/>
      <c r="F171" s="7">
        <f>IFERROR(VLOOKUP(C171,Products!$A$2:$G$204,6,FALSE),0)</f>
        <v>0</v>
      </c>
      <c r="G171" s="7"/>
      <c r="H171" s="7"/>
      <c r="I171" s="7">
        <f>IF(OR(E171="",F171=""),0,MAX(0,(E171*F171-G171+H171)*IFERROR(VLOOKUP(C171,Products!$A$2:$G$204,7,FALSE),0)))</f>
        <v>0</v>
      </c>
      <c r="J171" s="7"/>
      <c r="K171" s="7">
        <f>IF(OR(E171="",F171=""),0,E171*F171)</f>
        <v>0</v>
      </c>
      <c r="L171" s="7">
        <f>IF(E171="",0,K171-G171+H171-I171-J171)</f>
        <v>0</v>
      </c>
      <c r="M171" s="7">
        <f>IFERROR(E171*VLOOKUP(C171,Products!$A$2:$G$204,4,FALSE),0)</f>
        <v>0</v>
      </c>
      <c r="N171" s="7">
        <f>IFERROR(E171*VLOOKUP(C171,Products!$A$2:$G$204,5,FALSE),0)</f>
        <v>0</v>
      </c>
      <c r="O171" s="7">
        <f>IF(E171="",0,L171-M171-N171)</f>
        <v>0</v>
      </c>
      <c r="P171" s="6"/>
      <c r="Q171" s="6"/>
    </row>
    <row r="172" spans="1:17" x14ac:dyDescent="0.2">
      <c r="A172" s="12"/>
      <c r="B172" s="9"/>
      <c r="C172" s="9"/>
      <c r="D172" s="9" t="str">
        <f>IFERROR(VLOOKUP(C172,Products!$A$2:$G$204,2,FALSE),"")</f>
        <v/>
      </c>
      <c r="E172" s="13"/>
      <c r="F172" s="10">
        <f>IFERROR(VLOOKUP(C172,Products!$A$2:$G$204,6,FALSE),0)</f>
        <v>0</v>
      </c>
      <c r="G172" s="10"/>
      <c r="H172" s="10"/>
      <c r="I172" s="10">
        <f>IF(OR(E172="",F172=""),0,MAX(0,(E172*F172-G172+H172)*IFERROR(VLOOKUP(C172,Products!$A$2:$G$204,7,FALSE),0)))</f>
        <v>0</v>
      </c>
      <c r="J172" s="10"/>
      <c r="K172" s="10">
        <f>IF(OR(E172="",F172=""),0,E172*F172)</f>
        <v>0</v>
      </c>
      <c r="L172" s="10">
        <f>IF(E172="",0,K172-G172+H172-I172-J172)</f>
        <v>0</v>
      </c>
      <c r="M172" s="10">
        <f>IFERROR(E172*VLOOKUP(C172,Products!$A$2:$G$204,4,FALSE),0)</f>
        <v>0</v>
      </c>
      <c r="N172" s="10">
        <f>IFERROR(E172*VLOOKUP(C172,Products!$A$2:$G$204,5,FALSE),0)</f>
        <v>0</v>
      </c>
      <c r="O172" s="10">
        <f>IF(E172="",0,L172-M172-N172)</f>
        <v>0</v>
      </c>
      <c r="P172" s="9"/>
      <c r="Q172" s="9"/>
    </row>
    <row r="173" spans="1:17" x14ac:dyDescent="0.2">
      <c r="A173" s="14"/>
      <c r="B173" s="6"/>
      <c r="C173" s="6"/>
      <c r="D173" s="6" t="str">
        <f>IFERROR(VLOOKUP(C173,Products!$A$2:$G$204,2,FALSE),"")</f>
        <v/>
      </c>
      <c r="E173" s="15"/>
      <c r="F173" s="7">
        <f>IFERROR(VLOOKUP(C173,Products!$A$2:$G$204,6,FALSE),0)</f>
        <v>0</v>
      </c>
      <c r="G173" s="7"/>
      <c r="H173" s="7"/>
      <c r="I173" s="7">
        <f>IF(OR(E173="",F173=""),0,MAX(0,(E173*F173-G173+H173)*IFERROR(VLOOKUP(C173,Products!$A$2:$G$204,7,FALSE),0)))</f>
        <v>0</v>
      </c>
      <c r="J173" s="7"/>
      <c r="K173" s="7">
        <f>IF(OR(E173="",F173=""),0,E173*F173)</f>
        <v>0</v>
      </c>
      <c r="L173" s="7">
        <f>IF(E173="",0,K173-G173+H173-I173-J173)</f>
        <v>0</v>
      </c>
      <c r="M173" s="7">
        <f>IFERROR(E173*VLOOKUP(C173,Products!$A$2:$G$204,4,FALSE),0)</f>
        <v>0</v>
      </c>
      <c r="N173" s="7">
        <f>IFERROR(E173*VLOOKUP(C173,Products!$A$2:$G$204,5,FALSE),0)</f>
        <v>0</v>
      </c>
      <c r="O173" s="7">
        <f>IF(E173="",0,L173-M173-N173)</f>
        <v>0</v>
      </c>
      <c r="P173" s="6"/>
      <c r="Q173" s="6"/>
    </row>
    <row r="174" spans="1:17" x14ac:dyDescent="0.2">
      <c r="A174" s="12"/>
      <c r="B174" s="9"/>
      <c r="C174" s="9"/>
      <c r="D174" s="9" t="str">
        <f>IFERROR(VLOOKUP(C174,Products!$A$2:$G$204,2,FALSE),"")</f>
        <v/>
      </c>
      <c r="E174" s="13"/>
      <c r="F174" s="10">
        <f>IFERROR(VLOOKUP(C174,Products!$A$2:$G$204,6,FALSE),0)</f>
        <v>0</v>
      </c>
      <c r="G174" s="10"/>
      <c r="H174" s="10"/>
      <c r="I174" s="10">
        <f>IF(OR(E174="",F174=""),0,MAX(0,(E174*F174-G174+H174)*IFERROR(VLOOKUP(C174,Products!$A$2:$G$204,7,FALSE),0)))</f>
        <v>0</v>
      </c>
      <c r="J174" s="10"/>
      <c r="K174" s="10">
        <f>IF(OR(E174="",F174=""),0,E174*F174)</f>
        <v>0</v>
      </c>
      <c r="L174" s="10">
        <f>IF(E174="",0,K174-G174+H174-I174-J174)</f>
        <v>0</v>
      </c>
      <c r="M174" s="10">
        <f>IFERROR(E174*VLOOKUP(C174,Products!$A$2:$G$204,4,FALSE),0)</f>
        <v>0</v>
      </c>
      <c r="N174" s="10">
        <f>IFERROR(E174*VLOOKUP(C174,Products!$A$2:$G$204,5,FALSE),0)</f>
        <v>0</v>
      </c>
      <c r="O174" s="10">
        <f>IF(E174="",0,L174-M174-N174)</f>
        <v>0</v>
      </c>
      <c r="P174" s="9"/>
      <c r="Q174" s="9"/>
    </row>
    <row r="175" spans="1:17" x14ac:dyDescent="0.2">
      <c r="A175" s="14"/>
      <c r="B175" s="6"/>
      <c r="C175" s="6"/>
      <c r="D175" s="6" t="str">
        <f>IFERROR(VLOOKUP(C175,Products!$A$2:$G$204,2,FALSE),"")</f>
        <v/>
      </c>
      <c r="E175" s="15"/>
      <c r="F175" s="7">
        <f>IFERROR(VLOOKUP(C175,Products!$A$2:$G$204,6,FALSE),0)</f>
        <v>0</v>
      </c>
      <c r="G175" s="7"/>
      <c r="H175" s="7"/>
      <c r="I175" s="7">
        <f>IF(OR(E175="",F175=""),0,MAX(0,(E175*F175-G175+H175)*IFERROR(VLOOKUP(C175,Products!$A$2:$G$204,7,FALSE),0)))</f>
        <v>0</v>
      </c>
      <c r="J175" s="7"/>
      <c r="K175" s="7">
        <f>IF(OR(E175="",F175=""),0,E175*F175)</f>
        <v>0</v>
      </c>
      <c r="L175" s="7">
        <f>IF(E175="",0,K175-G175+H175-I175-J175)</f>
        <v>0</v>
      </c>
      <c r="M175" s="7">
        <f>IFERROR(E175*VLOOKUP(C175,Products!$A$2:$G$204,4,FALSE),0)</f>
        <v>0</v>
      </c>
      <c r="N175" s="7">
        <f>IFERROR(E175*VLOOKUP(C175,Products!$A$2:$G$204,5,FALSE),0)</f>
        <v>0</v>
      </c>
      <c r="O175" s="7">
        <f>IF(E175="",0,L175-M175-N175)</f>
        <v>0</v>
      </c>
      <c r="P175" s="6"/>
      <c r="Q175" s="6"/>
    </row>
    <row r="176" spans="1:17" x14ac:dyDescent="0.2">
      <c r="A176" s="12"/>
      <c r="B176" s="9"/>
      <c r="C176" s="9"/>
      <c r="D176" s="9" t="str">
        <f>IFERROR(VLOOKUP(C176,Products!$A$2:$G$204,2,FALSE),"")</f>
        <v/>
      </c>
      <c r="E176" s="13"/>
      <c r="F176" s="10">
        <f>IFERROR(VLOOKUP(C176,Products!$A$2:$G$204,6,FALSE),0)</f>
        <v>0</v>
      </c>
      <c r="G176" s="10"/>
      <c r="H176" s="10"/>
      <c r="I176" s="10">
        <f>IF(OR(E176="",F176=""),0,MAX(0,(E176*F176-G176+H176)*IFERROR(VLOOKUP(C176,Products!$A$2:$G$204,7,FALSE),0)))</f>
        <v>0</v>
      </c>
      <c r="J176" s="10"/>
      <c r="K176" s="10">
        <f>IF(OR(E176="",F176=""),0,E176*F176)</f>
        <v>0</v>
      </c>
      <c r="L176" s="10">
        <f>IF(E176="",0,K176-G176+H176-I176-J176)</f>
        <v>0</v>
      </c>
      <c r="M176" s="10">
        <f>IFERROR(E176*VLOOKUP(C176,Products!$A$2:$G$204,4,FALSE),0)</f>
        <v>0</v>
      </c>
      <c r="N176" s="10">
        <f>IFERROR(E176*VLOOKUP(C176,Products!$A$2:$G$204,5,FALSE),0)</f>
        <v>0</v>
      </c>
      <c r="O176" s="10">
        <f>IF(E176="",0,L176-M176-N176)</f>
        <v>0</v>
      </c>
      <c r="P176" s="9"/>
      <c r="Q176" s="9"/>
    </row>
    <row r="177" spans="1:17" x14ac:dyDescent="0.2">
      <c r="A177" s="14"/>
      <c r="B177" s="6"/>
      <c r="C177" s="6"/>
      <c r="D177" s="6" t="str">
        <f>IFERROR(VLOOKUP(C177,Products!$A$2:$G$204,2,FALSE),"")</f>
        <v/>
      </c>
      <c r="E177" s="15"/>
      <c r="F177" s="7">
        <f>IFERROR(VLOOKUP(C177,Products!$A$2:$G$204,6,FALSE),0)</f>
        <v>0</v>
      </c>
      <c r="G177" s="7"/>
      <c r="H177" s="7"/>
      <c r="I177" s="7">
        <f>IF(OR(E177="",F177=""),0,MAX(0,(E177*F177-G177+H177)*IFERROR(VLOOKUP(C177,Products!$A$2:$G$204,7,FALSE),0)))</f>
        <v>0</v>
      </c>
      <c r="J177" s="7"/>
      <c r="K177" s="7">
        <f>IF(OR(E177="",F177=""),0,E177*F177)</f>
        <v>0</v>
      </c>
      <c r="L177" s="7">
        <f>IF(E177="",0,K177-G177+H177-I177-J177)</f>
        <v>0</v>
      </c>
      <c r="M177" s="7">
        <f>IFERROR(E177*VLOOKUP(C177,Products!$A$2:$G$204,4,FALSE),0)</f>
        <v>0</v>
      </c>
      <c r="N177" s="7">
        <f>IFERROR(E177*VLOOKUP(C177,Products!$A$2:$G$204,5,FALSE),0)</f>
        <v>0</v>
      </c>
      <c r="O177" s="7">
        <f>IF(E177="",0,L177-M177-N177)</f>
        <v>0</v>
      </c>
      <c r="P177" s="6"/>
      <c r="Q177" s="6"/>
    </row>
    <row r="178" spans="1:17" x14ac:dyDescent="0.2">
      <c r="A178" s="12"/>
      <c r="B178" s="9"/>
      <c r="C178" s="9"/>
      <c r="D178" s="9" t="str">
        <f>IFERROR(VLOOKUP(C178,Products!$A$2:$G$204,2,FALSE),"")</f>
        <v/>
      </c>
      <c r="E178" s="13"/>
      <c r="F178" s="10">
        <f>IFERROR(VLOOKUP(C178,Products!$A$2:$G$204,6,FALSE),0)</f>
        <v>0</v>
      </c>
      <c r="G178" s="10"/>
      <c r="H178" s="10"/>
      <c r="I178" s="10">
        <f>IF(OR(E178="",F178=""),0,MAX(0,(E178*F178-G178+H178)*IFERROR(VLOOKUP(C178,Products!$A$2:$G$204,7,FALSE),0)))</f>
        <v>0</v>
      </c>
      <c r="J178" s="10"/>
      <c r="K178" s="10">
        <f>IF(OR(E178="",F178=""),0,E178*F178)</f>
        <v>0</v>
      </c>
      <c r="L178" s="10">
        <f>IF(E178="",0,K178-G178+H178-I178-J178)</f>
        <v>0</v>
      </c>
      <c r="M178" s="10">
        <f>IFERROR(E178*VLOOKUP(C178,Products!$A$2:$G$204,4,FALSE),0)</f>
        <v>0</v>
      </c>
      <c r="N178" s="10">
        <f>IFERROR(E178*VLOOKUP(C178,Products!$A$2:$G$204,5,FALSE),0)</f>
        <v>0</v>
      </c>
      <c r="O178" s="10">
        <f>IF(E178="",0,L178-M178-N178)</f>
        <v>0</v>
      </c>
      <c r="P178" s="9"/>
      <c r="Q178" s="9"/>
    </row>
    <row r="179" spans="1:17" x14ac:dyDescent="0.2">
      <c r="A179" s="14"/>
      <c r="B179" s="6"/>
      <c r="C179" s="6"/>
      <c r="D179" s="6" t="str">
        <f>IFERROR(VLOOKUP(C179,Products!$A$2:$G$204,2,FALSE),"")</f>
        <v/>
      </c>
      <c r="E179" s="15"/>
      <c r="F179" s="7">
        <f>IFERROR(VLOOKUP(C179,Products!$A$2:$G$204,6,FALSE),0)</f>
        <v>0</v>
      </c>
      <c r="G179" s="7"/>
      <c r="H179" s="7"/>
      <c r="I179" s="7">
        <f>IF(OR(E179="",F179=""),0,MAX(0,(E179*F179-G179+H179)*IFERROR(VLOOKUP(C179,Products!$A$2:$G$204,7,FALSE),0)))</f>
        <v>0</v>
      </c>
      <c r="J179" s="7"/>
      <c r="K179" s="7">
        <f>IF(OR(E179="",F179=""),0,E179*F179)</f>
        <v>0</v>
      </c>
      <c r="L179" s="7">
        <f>IF(E179="",0,K179-G179+H179-I179-J179)</f>
        <v>0</v>
      </c>
      <c r="M179" s="7">
        <f>IFERROR(E179*VLOOKUP(C179,Products!$A$2:$G$204,4,FALSE),0)</f>
        <v>0</v>
      </c>
      <c r="N179" s="7">
        <f>IFERROR(E179*VLOOKUP(C179,Products!$A$2:$G$204,5,FALSE),0)</f>
        <v>0</v>
      </c>
      <c r="O179" s="7">
        <f>IF(E179="",0,L179-M179-N179)</f>
        <v>0</v>
      </c>
      <c r="P179" s="6"/>
      <c r="Q179" s="6"/>
    </row>
    <row r="180" spans="1:17" x14ac:dyDescent="0.2">
      <c r="A180" s="12"/>
      <c r="B180" s="9"/>
      <c r="C180" s="9"/>
      <c r="D180" s="9" t="str">
        <f>IFERROR(VLOOKUP(C180,Products!$A$2:$G$204,2,FALSE),"")</f>
        <v/>
      </c>
      <c r="E180" s="13"/>
      <c r="F180" s="10">
        <f>IFERROR(VLOOKUP(C180,Products!$A$2:$G$204,6,FALSE),0)</f>
        <v>0</v>
      </c>
      <c r="G180" s="10"/>
      <c r="H180" s="10"/>
      <c r="I180" s="10">
        <f>IF(OR(E180="",F180=""),0,MAX(0,(E180*F180-G180+H180)*IFERROR(VLOOKUP(C180,Products!$A$2:$G$204,7,FALSE),0)))</f>
        <v>0</v>
      </c>
      <c r="J180" s="10"/>
      <c r="K180" s="10">
        <f>IF(OR(E180="",F180=""),0,E180*F180)</f>
        <v>0</v>
      </c>
      <c r="L180" s="10">
        <f>IF(E180="",0,K180-G180+H180-I180-J180)</f>
        <v>0</v>
      </c>
      <c r="M180" s="10">
        <f>IFERROR(E180*VLOOKUP(C180,Products!$A$2:$G$204,4,FALSE),0)</f>
        <v>0</v>
      </c>
      <c r="N180" s="10">
        <f>IFERROR(E180*VLOOKUP(C180,Products!$A$2:$G$204,5,FALSE),0)</f>
        <v>0</v>
      </c>
      <c r="O180" s="10">
        <f>IF(E180="",0,L180-M180-N180)</f>
        <v>0</v>
      </c>
      <c r="P180" s="9"/>
      <c r="Q180" s="9"/>
    </row>
    <row r="181" spans="1:17" x14ac:dyDescent="0.2">
      <c r="A181" s="14"/>
      <c r="B181" s="6"/>
      <c r="C181" s="6"/>
      <c r="D181" s="6" t="str">
        <f>IFERROR(VLOOKUP(C181,Products!$A$2:$G$204,2,FALSE),"")</f>
        <v/>
      </c>
      <c r="E181" s="15"/>
      <c r="F181" s="7">
        <f>IFERROR(VLOOKUP(C181,Products!$A$2:$G$204,6,FALSE),0)</f>
        <v>0</v>
      </c>
      <c r="G181" s="7"/>
      <c r="H181" s="7"/>
      <c r="I181" s="7">
        <f>IF(OR(E181="",F181=""),0,MAX(0,(E181*F181-G181+H181)*IFERROR(VLOOKUP(C181,Products!$A$2:$G$204,7,FALSE),0)))</f>
        <v>0</v>
      </c>
      <c r="J181" s="7"/>
      <c r="K181" s="7">
        <f>IF(OR(E181="",F181=""),0,E181*F181)</f>
        <v>0</v>
      </c>
      <c r="L181" s="7">
        <f>IF(E181="",0,K181-G181+H181-I181-J181)</f>
        <v>0</v>
      </c>
      <c r="M181" s="7">
        <f>IFERROR(E181*VLOOKUP(C181,Products!$A$2:$G$204,4,FALSE),0)</f>
        <v>0</v>
      </c>
      <c r="N181" s="7">
        <f>IFERROR(E181*VLOOKUP(C181,Products!$A$2:$G$204,5,FALSE),0)</f>
        <v>0</v>
      </c>
      <c r="O181" s="7">
        <f>IF(E181="",0,L181-M181-N181)</f>
        <v>0</v>
      </c>
      <c r="P181" s="6"/>
      <c r="Q181" s="6"/>
    </row>
    <row r="182" spans="1:17" x14ac:dyDescent="0.2">
      <c r="A182" s="12"/>
      <c r="B182" s="9"/>
      <c r="C182" s="9"/>
      <c r="D182" s="9" t="str">
        <f>IFERROR(VLOOKUP(C182,Products!$A$2:$G$204,2,FALSE),"")</f>
        <v/>
      </c>
      <c r="E182" s="13"/>
      <c r="F182" s="10">
        <f>IFERROR(VLOOKUP(C182,Products!$A$2:$G$204,6,FALSE),0)</f>
        <v>0</v>
      </c>
      <c r="G182" s="10"/>
      <c r="H182" s="10"/>
      <c r="I182" s="10">
        <f>IF(OR(E182="",F182=""),0,MAX(0,(E182*F182-G182+H182)*IFERROR(VLOOKUP(C182,Products!$A$2:$G$204,7,FALSE),0)))</f>
        <v>0</v>
      </c>
      <c r="J182" s="10"/>
      <c r="K182" s="10">
        <f>IF(OR(E182="",F182=""),0,E182*F182)</f>
        <v>0</v>
      </c>
      <c r="L182" s="10">
        <f>IF(E182="",0,K182-G182+H182-I182-J182)</f>
        <v>0</v>
      </c>
      <c r="M182" s="10">
        <f>IFERROR(E182*VLOOKUP(C182,Products!$A$2:$G$204,4,FALSE),0)</f>
        <v>0</v>
      </c>
      <c r="N182" s="10">
        <f>IFERROR(E182*VLOOKUP(C182,Products!$A$2:$G$204,5,FALSE),0)</f>
        <v>0</v>
      </c>
      <c r="O182" s="10">
        <f>IF(E182="",0,L182-M182-N182)</f>
        <v>0</v>
      </c>
      <c r="P182" s="9"/>
      <c r="Q182" s="9"/>
    </row>
    <row r="183" spans="1:17" x14ac:dyDescent="0.2">
      <c r="A183" s="14"/>
      <c r="B183" s="6"/>
      <c r="C183" s="6"/>
      <c r="D183" s="6" t="str">
        <f>IFERROR(VLOOKUP(C183,Products!$A$2:$G$204,2,FALSE),"")</f>
        <v/>
      </c>
      <c r="E183" s="15"/>
      <c r="F183" s="7">
        <f>IFERROR(VLOOKUP(C183,Products!$A$2:$G$204,6,FALSE),0)</f>
        <v>0</v>
      </c>
      <c r="G183" s="7"/>
      <c r="H183" s="7"/>
      <c r="I183" s="7">
        <f>IF(OR(E183="",F183=""),0,MAX(0,(E183*F183-G183+H183)*IFERROR(VLOOKUP(C183,Products!$A$2:$G$204,7,FALSE),0)))</f>
        <v>0</v>
      </c>
      <c r="J183" s="7"/>
      <c r="K183" s="7">
        <f>IF(OR(E183="",F183=""),0,E183*F183)</f>
        <v>0</v>
      </c>
      <c r="L183" s="7">
        <f>IF(E183="",0,K183-G183+H183-I183-J183)</f>
        <v>0</v>
      </c>
      <c r="M183" s="7">
        <f>IFERROR(E183*VLOOKUP(C183,Products!$A$2:$G$204,4,FALSE),0)</f>
        <v>0</v>
      </c>
      <c r="N183" s="7">
        <f>IFERROR(E183*VLOOKUP(C183,Products!$A$2:$G$204,5,FALSE),0)</f>
        <v>0</v>
      </c>
      <c r="O183" s="7">
        <f>IF(E183="",0,L183-M183-N183)</f>
        <v>0</v>
      </c>
      <c r="P183" s="6"/>
      <c r="Q183" s="6"/>
    </row>
    <row r="184" spans="1:17" x14ac:dyDescent="0.2">
      <c r="A184" s="12"/>
      <c r="B184" s="9"/>
      <c r="C184" s="9"/>
      <c r="D184" s="9" t="str">
        <f>IFERROR(VLOOKUP(C184,Products!$A$2:$G$204,2,FALSE),"")</f>
        <v/>
      </c>
      <c r="E184" s="13"/>
      <c r="F184" s="10">
        <f>IFERROR(VLOOKUP(C184,Products!$A$2:$G$204,6,FALSE),0)</f>
        <v>0</v>
      </c>
      <c r="G184" s="10"/>
      <c r="H184" s="10"/>
      <c r="I184" s="10">
        <f>IF(OR(E184="",F184=""),0,MAX(0,(E184*F184-G184+H184)*IFERROR(VLOOKUP(C184,Products!$A$2:$G$204,7,FALSE),0)))</f>
        <v>0</v>
      </c>
      <c r="J184" s="10"/>
      <c r="K184" s="10">
        <f>IF(OR(E184="",F184=""),0,E184*F184)</f>
        <v>0</v>
      </c>
      <c r="L184" s="10">
        <f>IF(E184="",0,K184-G184+H184-I184-J184)</f>
        <v>0</v>
      </c>
      <c r="M184" s="10">
        <f>IFERROR(E184*VLOOKUP(C184,Products!$A$2:$G$204,4,FALSE),0)</f>
        <v>0</v>
      </c>
      <c r="N184" s="10">
        <f>IFERROR(E184*VLOOKUP(C184,Products!$A$2:$G$204,5,FALSE),0)</f>
        <v>0</v>
      </c>
      <c r="O184" s="10">
        <f>IF(E184="",0,L184-M184-N184)</f>
        <v>0</v>
      </c>
      <c r="P184" s="9"/>
      <c r="Q184" s="9"/>
    </row>
    <row r="185" spans="1:17" x14ac:dyDescent="0.2">
      <c r="A185" s="14"/>
      <c r="B185" s="6"/>
      <c r="C185" s="6"/>
      <c r="D185" s="6" t="str">
        <f>IFERROR(VLOOKUP(C185,Products!$A$2:$G$204,2,FALSE),"")</f>
        <v/>
      </c>
      <c r="E185" s="15"/>
      <c r="F185" s="7">
        <f>IFERROR(VLOOKUP(C185,Products!$A$2:$G$204,6,FALSE),0)</f>
        <v>0</v>
      </c>
      <c r="G185" s="7"/>
      <c r="H185" s="7"/>
      <c r="I185" s="7">
        <f>IF(OR(E185="",F185=""),0,MAX(0,(E185*F185-G185+H185)*IFERROR(VLOOKUP(C185,Products!$A$2:$G$204,7,FALSE),0)))</f>
        <v>0</v>
      </c>
      <c r="J185" s="7"/>
      <c r="K185" s="7">
        <f>IF(OR(E185="",F185=""),0,E185*F185)</f>
        <v>0</v>
      </c>
      <c r="L185" s="7">
        <f>IF(E185="",0,K185-G185+H185-I185-J185)</f>
        <v>0</v>
      </c>
      <c r="M185" s="7">
        <f>IFERROR(E185*VLOOKUP(C185,Products!$A$2:$G$204,4,FALSE),0)</f>
        <v>0</v>
      </c>
      <c r="N185" s="7">
        <f>IFERROR(E185*VLOOKUP(C185,Products!$A$2:$G$204,5,FALSE),0)</f>
        <v>0</v>
      </c>
      <c r="O185" s="7">
        <f>IF(E185="",0,L185-M185-N185)</f>
        <v>0</v>
      </c>
      <c r="P185" s="6"/>
      <c r="Q185" s="6"/>
    </row>
    <row r="186" spans="1:17" x14ac:dyDescent="0.2">
      <c r="A186" s="12"/>
      <c r="B186" s="9"/>
      <c r="C186" s="9"/>
      <c r="D186" s="9" t="str">
        <f>IFERROR(VLOOKUP(C186,Products!$A$2:$G$204,2,FALSE),"")</f>
        <v/>
      </c>
      <c r="E186" s="13"/>
      <c r="F186" s="10">
        <f>IFERROR(VLOOKUP(C186,Products!$A$2:$G$204,6,FALSE),0)</f>
        <v>0</v>
      </c>
      <c r="G186" s="10"/>
      <c r="H186" s="10"/>
      <c r="I186" s="10">
        <f>IF(OR(E186="",F186=""),0,MAX(0,(E186*F186-G186+H186)*IFERROR(VLOOKUP(C186,Products!$A$2:$G$204,7,FALSE),0)))</f>
        <v>0</v>
      </c>
      <c r="J186" s="10"/>
      <c r="K186" s="10">
        <f>IF(OR(E186="",F186=""),0,E186*F186)</f>
        <v>0</v>
      </c>
      <c r="L186" s="10">
        <f>IF(E186="",0,K186-G186+H186-I186-J186)</f>
        <v>0</v>
      </c>
      <c r="M186" s="10">
        <f>IFERROR(E186*VLOOKUP(C186,Products!$A$2:$G$204,4,FALSE),0)</f>
        <v>0</v>
      </c>
      <c r="N186" s="10">
        <f>IFERROR(E186*VLOOKUP(C186,Products!$A$2:$G$204,5,FALSE),0)</f>
        <v>0</v>
      </c>
      <c r="O186" s="10">
        <f>IF(E186="",0,L186-M186-N186)</f>
        <v>0</v>
      </c>
      <c r="P186" s="9"/>
      <c r="Q186" s="9"/>
    </row>
    <row r="187" spans="1:17" x14ac:dyDescent="0.2">
      <c r="A187" s="14"/>
      <c r="B187" s="6"/>
      <c r="C187" s="6"/>
      <c r="D187" s="6" t="str">
        <f>IFERROR(VLOOKUP(C187,Products!$A$2:$G$204,2,FALSE),"")</f>
        <v/>
      </c>
      <c r="E187" s="15"/>
      <c r="F187" s="7">
        <f>IFERROR(VLOOKUP(C187,Products!$A$2:$G$204,6,FALSE),0)</f>
        <v>0</v>
      </c>
      <c r="G187" s="7"/>
      <c r="H187" s="7"/>
      <c r="I187" s="7">
        <f>IF(OR(E187="",F187=""),0,MAX(0,(E187*F187-G187+H187)*IFERROR(VLOOKUP(C187,Products!$A$2:$G$204,7,FALSE),0)))</f>
        <v>0</v>
      </c>
      <c r="J187" s="7"/>
      <c r="K187" s="7">
        <f>IF(OR(E187="",F187=""),0,E187*F187)</f>
        <v>0</v>
      </c>
      <c r="L187" s="7">
        <f>IF(E187="",0,K187-G187+H187-I187-J187)</f>
        <v>0</v>
      </c>
      <c r="M187" s="7">
        <f>IFERROR(E187*VLOOKUP(C187,Products!$A$2:$G$204,4,FALSE),0)</f>
        <v>0</v>
      </c>
      <c r="N187" s="7">
        <f>IFERROR(E187*VLOOKUP(C187,Products!$A$2:$G$204,5,FALSE),0)</f>
        <v>0</v>
      </c>
      <c r="O187" s="7">
        <f>IF(E187="",0,L187-M187-N187)</f>
        <v>0</v>
      </c>
      <c r="P187" s="6"/>
      <c r="Q187" s="6"/>
    </row>
    <row r="188" spans="1:17" x14ac:dyDescent="0.2">
      <c r="A188" s="12"/>
      <c r="B188" s="9"/>
      <c r="C188" s="9"/>
      <c r="D188" s="9" t="str">
        <f>IFERROR(VLOOKUP(C188,Products!$A$2:$G$204,2,FALSE),"")</f>
        <v/>
      </c>
      <c r="E188" s="13"/>
      <c r="F188" s="10">
        <f>IFERROR(VLOOKUP(C188,Products!$A$2:$G$204,6,FALSE),0)</f>
        <v>0</v>
      </c>
      <c r="G188" s="10"/>
      <c r="H188" s="10"/>
      <c r="I188" s="10">
        <f>IF(OR(E188="",F188=""),0,MAX(0,(E188*F188-G188+H188)*IFERROR(VLOOKUP(C188,Products!$A$2:$G$204,7,FALSE),0)))</f>
        <v>0</v>
      </c>
      <c r="J188" s="10"/>
      <c r="K188" s="10">
        <f>IF(OR(E188="",F188=""),0,E188*F188)</f>
        <v>0</v>
      </c>
      <c r="L188" s="10">
        <f>IF(E188="",0,K188-G188+H188-I188-J188)</f>
        <v>0</v>
      </c>
      <c r="M188" s="10">
        <f>IFERROR(E188*VLOOKUP(C188,Products!$A$2:$G$204,4,FALSE),0)</f>
        <v>0</v>
      </c>
      <c r="N188" s="10">
        <f>IFERROR(E188*VLOOKUP(C188,Products!$A$2:$G$204,5,FALSE),0)</f>
        <v>0</v>
      </c>
      <c r="O188" s="10">
        <f>IF(E188="",0,L188-M188-N188)</f>
        <v>0</v>
      </c>
      <c r="P188" s="9"/>
      <c r="Q188" s="9"/>
    </row>
    <row r="189" spans="1:17" x14ac:dyDescent="0.2">
      <c r="A189" s="14"/>
      <c r="B189" s="6"/>
      <c r="C189" s="6"/>
      <c r="D189" s="6" t="str">
        <f>IFERROR(VLOOKUP(C189,Products!$A$2:$G$204,2,FALSE),"")</f>
        <v/>
      </c>
      <c r="E189" s="15"/>
      <c r="F189" s="7">
        <f>IFERROR(VLOOKUP(C189,Products!$A$2:$G$204,6,FALSE),0)</f>
        <v>0</v>
      </c>
      <c r="G189" s="7"/>
      <c r="H189" s="7"/>
      <c r="I189" s="7">
        <f>IF(OR(E189="",F189=""),0,MAX(0,(E189*F189-G189+H189)*IFERROR(VLOOKUP(C189,Products!$A$2:$G$204,7,FALSE),0)))</f>
        <v>0</v>
      </c>
      <c r="J189" s="7"/>
      <c r="K189" s="7">
        <f>IF(OR(E189="",F189=""),0,E189*F189)</f>
        <v>0</v>
      </c>
      <c r="L189" s="7">
        <f>IF(E189="",0,K189-G189+H189-I189-J189)</f>
        <v>0</v>
      </c>
      <c r="M189" s="7">
        <f>IFERROR(E189*VLOOKUP(C189,Products!$A$2:$G$204,4,FALSE),0)</f>
        <v>0</v>
      </c>
      <c r="N189" s="7">
        <f>IFERROR(E189*VLOOKUP(C189,Products!$A$2:$G$204,5,FALSE),0)</f>
        <v>0</v>
      </c>
      <c r="O189" s="7">
        <f>IF(E189="",0,L189-M189-N189)</f>
        <v>0</v>
      </c>
      <c r="P189" s="6"/>
      <c r="Q189" s="6"/>
    </row>
    <row r="190" spans="1:17" x14ac:dyDescent="0.2">
      <c r="A190" s="12"/>
      <c r="B190" s="9"/>
      <c r="C190" s="9"/>
      <c r="D190" s="9" t="str">
        <f>IFERROR(VLOOKUP(C190,Products!$A$2:$G$204,2,FALSE),"")</f>
        <v/>
      </c>
      <c r="E190" s="13"/>
      <c r="F190" s="10">
        <f>IFERROR(VLOOKUP(C190,Products!$A$2:$G$204,6,FALSE),0)</f>
        <v>0</v>
      </c>
      <c r="G190" s="10"/>
      <c r="H190" s="10"/>
      <c r="I190" s="10">
        <f>IF(OR(E190="",F190=""),0,MAX(0,(E190*F190-G190+H190)*IFERROR(VLOOKUP(C190,Products!$A$2:$G$204,7,FALSE),0)))</f>
        <v>0</v>
      </c>
      <c r="J190" s="10"/>
      <c r="K190" s="10">
        <f>IF(OR(E190="",F190=""),0,E190*F190)</f>
        <v>0</v>
      </c>
      <c r="L190" s="10">
        <f>IF(E190="",0,K190-G190+H190-I190-J190)</f>
        <v>0</v>
      </c>
      <c r="M190" s="10">
        <f>IFERROR(E190*VLOOKUP(C190,Products!$A$2:$G$204,4,FALSE),0)</f>
        <v>0</v>
      </c>
      <c r="N190" s="10">
        <f>IFERROR(E190*VLOOKUP(C190,Products!$A$2:$G$204,5,FALSE),0)</f>
        <v>0</v>
      </c>
      <c r="O190" s="10">
        <f>IF(E190="",0,L190-M190-N190)</f>
        <v>0</v>
      </c>
      <c r="P190" s="9"/>
      <c r="Q190" s="9"/>
    </row>
    <row r="191" spans="1:17" x14ac:dyDescent="0.2">
      <c r="A191" s="14"/>
      <c r="B191" s="6"/>
      <c r="C191" s="6"/>
      <c r="D191" s="6" t="str">
        <f>IFERROR(VLOOKUP(C191,Products!$A$2:$G$204,2,FALSE),"")</f>
        <v/>
      </c>
      <c r="E191" s="15"/>
      <c r="F191" s="7">
        <f>IFERROR(VLOOKUP(C191,Products!$A$2:$G$204,6,FALSE),0)</f>
        <v>0</v>
      </c>
      <c r="G191" s="7"/>
      <c r="H191" s="7"/>
      <c r="I191" s="7">
        <f>IF(OR(E191="",F191=""),0,MAX(0,(E191*F191-G191+H191)*IFERROR(VLOOKUP(C191,Products!$A$2:$G$204,7,FALSE),0)))</f>
        <v>0</v>
      </c>
      <c r="J191" s="7"/>
      <c r="K191" s="7">
        <f>IF(OR(E191="",F191=""),0,E191*F191)</f>
        <v>0</v>
      </c>
      <c r="L191" s="7">
        <f>IF(E191="",0,K191-G191+H191-I191-J191)</f>
        <v>0</v>
      </c>
      <c r="M191" s="7">
        <f>IFERROR(E191*VLOOKUP(C191,Products!$A$2:$G$204,4,FALSE),0)</f>
        <v>0</v>
      </c>
      <c r="N191" s="7">
        <f>IFERROR(E191*VLOOKUP(C191,Products!$A$2:$G$204,5,FALSE),0)</f>
        <v>0</v>
      </c>
      <c r="O191" s="7">
        <f>IF(E191="",0,L191-M191-N191)</f>
        <v>0</v>
      </c>
      <c r="P191" s="6"/>
      <c r="Q191" s="6"/>
    </row>
    <row r="192" spans="1:17" x14ac:dyDescent="0.2">
      <c r="A192" s="12"/>
      <c r="B192" s="9"/>
      <c r="C192" s="9"/>
      <c r="D192" s="9" t="str">
        <f>IFERROR(VLOOKUP(C192,Products!$A$2:$G$204,2,FALSE),"")</f>
        <v/>
      </c>
      <c r="E192" s="13"/>
      <c r="F192" s="10">
        <f>IFERROR(VLOOKUP(C192,Products!$A$2:$G$204,6,FALSE),0)</f>
        <v>0</v>
      </c>
      <c r="G192" s="10"/>
      <c r="H192" s="10"/>
      <c r="I192" s="10">
        <f>IF(OR(E192="",F192=""),0,MAX(0,(E192*F192-G192+H192)*IFERROR(VLOOKUP(C192,Products!$A$2:$G$204,7,FALSE),0)))</f>
        <v>0</v>
      </c>
      <c r="J192" s="10"/>
      <c r="K192" s="10">
        <f>IF(OR(E192="",F192=""),0,E192*F192)</f>
        <v>0</v>
      </c>
      <c r="L192" s="10">
        <f>IF(E192="",0,K192-G192+H192-I192-J192)</f>
        <v>0</v>
      </c>
      <c r="M192" s="10">
        <f>IFERROR(E192*VLOOKUP(C192,Products!$A$2:$G$204,4,FALSE),0)</f>
        <v>0</v>
      </c>
      <c r="N192" s="10">
        <f>IFERROR(E192*VLOOKUP(C192,Products!$A$2:$G$204,5,FALSE),0)</f>
        <v>0</v>
      </c>
      <c r="O192" s="10">
        <f>IF(E192="",0,L192-M192-N192)</f>
        <v>0</v>
      </c>
      <c r="P192" s="9"/>
      <c r="Q192" s="9"/>
    </row>
    <row r="193" spans="1:17" x14ac:dyDescent="0.2">
      <c r="A193" s="14"/>
      <c r="B193" s="6"/>
      <c r="C193" s="6"/>
      <c r="D193" s="6" t="str">
        <f>IFERROR(VLOOKUP(C193,Products!$A$2:$G$204,2,FALSE),"")</f>
        <v/>
      </c>
      <c r="E193" s="15"/>
      <c r="F193" s="7">
        <f>IFERROR(VLOOKUP(C193,Products!$A$2:$G$204,6,FALSE),0)</f>
        <v>0</v>
      </c>
      <c r="G193" s="7"/>
      <c r="H193" s="7"/>
      <c r="I193" s="7">
        <f>IF(OR(E193="",F193=""),0,MAX(0,(E193*F193-G193+H193)*IFERROR(VLOOKUP(C193,Products!$A$2:$G$204,7,FALSE),0)))</f>
        <v>0</v>
      </c>
      <c r="J193" s="7"/>
      <c r="K193" s="7">
        <f>IF(OR(E193="",F193=""),0,E193*F193)</f>
        <v>0</v>
      </c>
      <c r="L193" s="7">
        <f>IF(E193="",0,K193-G193+H193-I193-J193)</f>
        <v>0</v>
      </c>
      <c r="M193" s="7">
        <f>IFERROR(E193*VLOOKUP(C193,Products!$A$2:$G$204,4,FALSE),0)</f>
        <v>0</v>
      </c>
      <c r="N193" s="7">
        <f>IFERROR(E193*VLOOKUP(C193,Products!$A$2:$G$204,5,FALSE),0)</f>
        <v>0</v>
      </c>
      <c r="O193" s="7">
        <f>IF(E193="",0,L193-M193-N193)</f>
        <v>0</v>
      </c>
      <c r="P193" s="6"/>
      <c r="Q193" s="6"/>
    </row>
    <row r="194" spans="1:17" x14ac:dyDescent="0.2">
      <c r="A194" s="12"/>
      <c r="B194" s="9"/>
      <c r="C194" s="9"/>
      <c r="D194" s="9" t="str">
        <f>IFERROR(VLOOKUP(C194,Products!$A$2:$G$204,2,FALSE),"")</f>
        <v/>
      </c>
      <c r="E194" s="13"/>
      <c r="F194" s="10">
        <f>IFERROR(VLOOKUP(C194,Products!$A$2:$G$204,6,FALSE),0)</f>
        <v>0</v>
      </c>
      <c r="G194" s="10"/>
      <c r="H194" s="10"/>
      <c r="I194" s="10">
        <f>IF(OR(E194="",F194=""),0,MAX(0,(E194*F194-G194+H194)*IFERROR(VLOOKUP(C194,Products!$A$2:$G$204,7,FALSE),0)))</f>
        <v>0</v>
      </c>
      <c r="J194" s="10"/>
      <c r="K194" s="10">
        <f>IF(OR(E194="",F194=""),0,E194*F194)</f>
        <v>0</v>
      </c>
      <c r="L194" s="10">
        <f>IF(E194="",0,K194-G194+H194-I194-J194)</f>
        <v>0</v>
      </c>
      <c r="M194" s="10">
        <f>IFERROR(E194*VLOOKUP(C194,Products!$A$2:$G$204,4,FALSE),0)</f>
        <v>0</v>
      </c>
      <c r="N194" s="10">
        <f>IFERROR(E194*VLOOKUP(C194,Products!$A$2:$G$204,5,FALSE),0)</f>
        <v>0</v>
      </c>
      <c r="O194" s="10">
        <f>IF(E194="",0,L194-M194-N194)</f>
        <v>0</v>
      </c>
      <c r="P194" s="9"/>
      <c r="Q194" s="9"/>
    </row>
    <row r="195" spans="1:17" x14ac:dyDescent="0.2">
      <c r="A195" s="14"/>
      <c r="B195" s="6"/>
      <c r="C195" s="6"/>
      <c r="D195" s="6" t="str">
        <f>IFERROR(VLOOKUP(C195,Products!$A$2:$G$204,2,FALSE),"")</f>
        <v/>
      </c>
      <c r="E195" s="15"/>
      <c r="F195" s="7">
        <f>IFERROR(VLOOKUP(C195,Products!$A$2:$G$204,6,FALSE),0)</f>
        <v>0</v>
      </c>
      <c r="G195" s="7"/>
      <c r="H195" s="7"/>
      <c r="I195" s="7">
        <f>IF(OR(E195="",F195=""),0,MAX(0,(E195*F195-G195+H195)*IFERROR(VLOOKUP(C195,Products!$A$2:$G$204,7,FALSE),0)))</f>
        <v>0</v>
      </c>
      <c r="J195" s="7"/>
      <c r="K195" s="7">
        <f>IF(OR(E195="",F195=""),0,E195*F195)</f>
        <v>0</v>
      </c>
      <c r="L195" s="7">
        <f>IF(E195="",0,K195-G195+H195-I195-J195)</f>
        <v>0</v>
      </c>
      <c r="M195" s="7">
        <f>IFERROR(E195*VLOOKUP(C195,Products!$A$2:$G$204,4,FALSE),0)</f>
        <v>0</v>
      </c>
      <c r="N195" s="7">
        <f>IFERROR(E195*VLOOKUP(C195,Products!$A$2:$G$204,5,FALSE),0)</f>
        <v>0</v>
      </c>
      <c r="O195" s="7">
        <f>IF(E195="",0,L195-M195-N195)</f>
        <v>0</v>
      </c>
      <c r="P195" s="6"/>
      <c r="Q195" s="6"/>
    </row>
    <row r="196" spans="1:17" x14ac:dyDescent="0.2">
      <c r="A196" s="12"/>
      <c r="B196" s="9"/>
      <c r="C196" s="9"/>
      <c r="D196" s="9" t="str">
        <f>IFERROR(VLOOKUP(C196,Products!$A$2:$G$204,2,FALSE),"")</f>
        <v/>
      </c>
      <c r="E196" s="13"/>
      <c r="F196" s="10">
        <f>IFERROR(VLOOKUP(C196,Products!$A$2:$G$204,6,FALSE),0)</f>
        <v>0</v>
      </c>
      <c r="G196" s="10"/>
      <c r="H196" s="10"/>
      <c r="I196" s="10">
        <f>IF(OR(E196="",F196=""),0,MAX(0,(E196*F196-G196+H196)*IFERROR(VLOOKUP(C196,Products!$A$2:$G$204,7,FALSE),0)))</f>
        <v>0</v>
      </c>
      <c r="J196" s="10"/>
      <c r="K196" s="10">
        <f>IF(OR(E196="",F196=""),0,E196*F196)</f>
        <v>0</v>
      </c>
      <c r="L196" s="10">
        <f>IF(E196="",0,K196-G196+H196-I196-J196)</f>
        <v>0</v>
      </c>
      <c r="M196" s="10">
        <f>IFERROR(E196*VLOOKUP(C196,Products!$A$2:$G$204,4,FALSE),0)</f>
        <v>0</v>
      </c>
      <c r="N196" s="10">
        <f>IFERROR(E196*VLOOKUP(C196,Products!$A$2:$G$204,5,FALSE),0)</f>
        <v>0</v>
      </c>
      <c r="O196" s="10">
        <f>IF(E196="",0,L196-M196-N196)</f>
        <v>0</v>
      </c>
      <c r="P196" s="9"/>
      <c r="Q196" s="9"/>
    </row>
    <row r="197" spans="1:17" x14ac:dyDescent="0.2">
      <c r="A197" s="14"/>
      <c r="B197" s="6"/>
      <c r="C197" s="6"/>
      <c r="D197" s="6" t="str">
        <f>IFERROR(VLOOKUP(C197,Products!$A$2:$G$204,2,FALSE),"")</f>
        <v/>
      </c>
      <c r="E197" s="15"/>
      <c r="F197" s="7">
        <f>IFERROR(VLOOKUP(C197,Products!$A$2:$G$204,6,FALSE),0)</f>
        <v>0</v>
      </c>
      <c r="G197" s="7"/>
      <c r="H197" s="7"/>
      <c r="I197" s="7">
        <f>IF(OR(E197="",F197=""),0,MAX(0,(E197*F197-G197+H197)*IFERROR(VLOOKUP(C197,Products!$A$2:$G$204,7,FALSE),0)))</f>
        <v>0</v>
      </c>
      <c r="J197" s="7"/>
      <c r="K197" s="7">
        <f>IF(OR(E197="",F197=""),0,E197*F197)</f>
        <v>0</v>
      </c>
      <c r="L197" s="7">
        <f>IF(E197="",0,K197-G197+H197-I197-J197)</f>
        <v>0</v>
      </c>
      <c r="M197" s="7">
        <f>IFERROR(E197*VLOOKUP(C197,Products!$A$2:$G$204,4,FALSE),0)</f>
        <v>0</v>
      </c>
      <c r="N197" s="7">
        <f>IFERROR(E197*VLOOKUP(C197,Products!$A$2:$G$204,5,FALSE),0)</f>
        <v>0</v>
      </c>
      <c r="O197" s="7">
        <f>IF(E197="",0,L197-M197-N197)</f>
        <v>0</v>
      </c>
      <c r="P197" s="6"/>
      <c r="Q197" s="6"/>
    </row>
    <row r="198" spans="1:17" x14ac:dyDescent="0.2">
      <c r="A198" s="12"/>
      <c r="B198" s="9"/>
      <c r="C198" s="9"/>
      <c r="D198" s="9" t="str">
        <f>IFERROR(VLOOKUP(C198,Products!$A$2:$G$204,2,FALSE),"")</f>
        <v/>
      </c>
      <c r="E198" s="13"/>
      <c r="F198" s="10">
        <f>IFERROR(VLOOKUP(C198,Products!$A$2:$G$204,6,FALSE),0)</f>
        <v>0</v>
      </c>
      <c r="G198" s="10"/>
      <c r="H198" s="10"/>
      <c r="I198" s="10">
        <f>IF(OR(E198="",F198=""),0,MAX(0,(E198*F198-G198+H198)*IFERROR(VLOOKUP(C198,Products!$A$2:$G$204,7,FALSE),0)))</f>
        <v>0</v>
      </c>
      <c r="J198" s="10"/>
      <c r="K198" s="10">
        <f>IF(OR(E198="",F198=""),0,E198*F198)</f>
        <v>0</v>
      </c>
      <c r="L198" s="10">
        <f>IF(E198="",0,K198-G198+H198-I198-J198)</f>
        <v>0</v>
      </c>
      <c r="M198" s="10">
        <f>IFERROR(E198*VLOOKUP(C198,Products!$A$2:$G$204,4,FALSE),0)</f>
        <v>0</v>
      </c>
      <c r="N198" s="10">
        <f>IFERROR(E198*VLOOKUP(C198,Products!$A$2:$G$204,5,FALSE),0)</f>
        <v>0</v>
      </c>
      <c r="O198" s="10">
        <f>IF(E198="",0,L198-M198-N198)</f>
        <v>0</v>
      </c>
      <c r="P198" s="9"/>
      <c r="Q198" s="9"/>
    </row>
    <row r="199" spans="1:17" x14ac:dyDescent="0.2">
      <c r="A199" s="14"/>
      <c r="B199" s="6"/>
      <c r="C199" s="6"/>
      <c r="D199" s="6" t="str">
        <f>IFERROR(VLOOKUP(C199,Products!$A$2:$G$204,2,FALSE),"")</f>
        <v/>
      </c>
      <c r="E199" s="15"/>
      <c r="F199" s="7">
        <f>IFERROR(VLOOKUP(C199,Products!$A$2:$G$204,6,FALSE),0)</f>
        <v>0</v>
      </c>
      <c r="G199" s="7"/>
      <c r="H199" s="7"/>
      <c r="I199" s="7">
        <f>IF(OR(E199="",F199=""),0,MAX(0,(E199*F199-G199+H199)*IFERROR(VLOOKUP(C199,Products!$A$2:$G$204,7,FALSE),0)))</f>
        <v>0</v>
      </c>
      <c r="J199" s="7"/>
      <c r="K199" s="7">
        <f>IF(OR(E199="",F199=""),0,E199*F199)</f>
        <v>0</v>
      </c>
      <c r="L199" s="7">
        <f>IF(E199="",0,K199-G199+H199-I199-J199)</f>
        <v>0</v>
      </c>
      <c r="M199" s="7">
        <f>IFERROR(E199*VLOOKUP(C199,Products!$A$2:$G$204,4,FALSE),0)</f>
        <v>0</v>
      </c>
      <c r="N199" s="7">
        <f>IFERROR(E199*VLOOKUP(C199,Products!$A$2:$G$204,5,FALSE),0)</f>
        <v>0</v>
      </c>
      <c r="O199" s="7">
        <f>IF(E199="",0,L199-M199-N199)</f>
        <v>0</v>
      </c>
      <c r="P199" s="6"/>
      <c r="Q199" s="6"/>
    </row>
    <row r="200" spans="1:17" x14ac:dyDescent="0.2">
      <c r="A200" s="12"/>
      <c r="B200" s="9"/>
      <c r="C200" s="9"/>
      <c r="D200" s="9" t="str">
        <f>IFERROR(VLOOKUP(C200,Products!$A$2:$G$204,2,FALSE),"")</f>
        <v/>
      </c>
      <c r="E200" s="13"/>
      <c r="F200" s="10">
        <f>IFERROR(VLOOKUP(C200,Products!$A$2:$G$204,6,FALSE),0)</f>
        <v>0</v>
      </c>
      <c r="G200" s="10"/>
      <c r="H200" s="10"/>
      <c r="I200" s="10">
        <f>IF(OR(E200="",F200=""),0,MAX(0,(E200*F200-G200+H200)*IFERROR(VLOOKUP(C200,Products!$A$2:$G$204,7,FALSE),0)))</f>
        <v>0</v>
      </c>
      <c r="J200" s="10"/>
      <c r="K200" s="10">
        <f>IF(OR(E200="",F200=""),0,E200*F200)</f>
        <v>0</v>
      </c>
      <c r="L200" s="10">
        <f>IF(E200="",0,K200-G200+H200-I200-J200)</f>
        <v>0</v>
      </c>
      <c r="M200" s="10">
        <f>IFERROR(E200*VLOOKUP(C200,Products!$A$2:$G$204,4,FALSE),0)</f>
        <v>0</v>
      </c>
      <c r="N200" s="10">
        <f>IFERROR(E200*VLOOKUP(C200,Products!$A$2:$G$204,5,FALSE),0)</f>
        <v>0</v>
      </c>
      <c r="O200" s="10">
        <f>IF(E200="",0,L200-M200-N200)</f>
        <v>0</v>
      </c>
      <c r="P200" s="9"/>
      <c r="Q200" s="9"/>
    </row>
    <row r="201" spans="1:17" x14ac:dyDescent="0.2">
      <c r="A201" s="14"/>
      <c r="B201" s="6"/>
      <c r="C201" s="6"/>
      <c r="D201" s="6" t="str">
        <f>IFERROR(VLOOKUP(C201,Products!$A$2:$G$204,2,FALSE),"")</f>
        <v/>
      </c>
      <c r="E201" s="15"/>
      <c r="F201" s="7">
        <f>IFERROR(VLOOKUP(C201,Products!$A$2:$G$204,6,FALSE),0)</f>
        <v>0</v>
      </c>
      <c r="G201" s="7"/>
      <c r="H201" s="7"/>
      <c r="I201" s="7">
        <f>IF(OR(E201="",F201=""),0,MAX(0,(E201*F201-G201+H201)*IFERROR(VLOOKUP(C201,Products!$A$2:$G$204,7,FALSE),0)))</f>
        <v>0</v>
      </c>
      <c r="J201" s="7"/>
      <c r="K201" s="7">
        <f>IF(OR(E201="",F201=""),0,E201*F201)</f>
        <v>0</v>
      </c>
      <c r="L201" s="7">
        <f>IF(E201="",0,K201-G201+H201-I201-J201)</f>
        <v>0</v>
      </c>
      <c r="M201" s="7">
        <f>IFERROR(E201*VLOOKUP(C201,Products!$A$2:$G$204,4,FALSE),0)</f>
        <v>0</v>
      </c>
      <c r="N201" s="7">
        <f>IFERROR(E201*VLOOKUP(C201,Products!$A$2:$G$204,5,FALSE),0)</f>
        <v>0</v>
      </c>
      <c r="O201" s="7">
        <f>IF(E201="",0,L201-M201-N201)</f>
        <v>0</v>
      </c>
      <c r="P201" s="6"/>
      <c r="Q201" s="6"/>
    </row>
    <row r="202" spans="1:17" x14ac:dyDescent="0.2">
      <c r="A202" s="12"/>
      <c r="B202" s="9"/>
      <c r="C202" s="9"/>
      <c r="D202" s="9" t="str">
        <f>IFERROR(VLOOKUP(C202,Products!$A$2:$G$204,2,FALSE),"")</f>
        <v/>
      </c>
      <c r="E202" s="13"/>
      <c r="F202" s="10">
        <f>IFERROR(VLOOKUP(C202,Products!$A$2:$G$204,6,FALSE),0)</f>
        <v>0</v>
      </c>
      <c r="G202" s="10"/>
      <c r="H202" s="10"/>
      <c r="I202" s="10">
        <f>IF(OR(E202="",F202=""),0,MAX(0,(E202*F202-G202+H202)*IFERROR(VLOOKUP(C202,Products!$A$2:$G$204,7,FALSE),0)))</f>
        <v>0</v>
      </c>
      <c r="J202" s="10"/>
      <c r="K202" s="10">
        <f>IF(OR(E202="",F202=""),0,E202*F202)</f>
        <v>0</v>
      </c>
      <c r="L202" s="10">
        <f>IF(E202="",0,K202-G202+H202-I202-J202)</f>
        <v>0</v>
      </c>
      <c r="M202" s="10">
        <f>IFERROR(E202*VLOOKUP(C202,Products!$A$2:$G$204,4,FALSE),0)</f>
        <v>0</v>
      </c>
      <c r="N202" s="10">
        <f>IFERROR(E202*VLOOKUP(C202,Products!$A$2:$G$204,5,FALSE),0)</f>
        <v>0</v>
      </c>
      <c r="O202" s="10">
        <f>IF(E202="",0,L202-M202-N202)</f>
        <v>0</v>
      </c>
      <c r="P202" s="9"/>
      <c r="Q202" s="9"/>
    </row>
    <row r="203" spans="1:17" x14ac:dyDescent="0.2">
      <c r="A203" s="14"/>
      <c r="B203" s="6"/>
      <c r="C203" s="6"/>
      <c r="D203" s="6" t="str">
        <f>IFERROR(VLOOKUP(C203,Products!$A$2:$G$204,2,FALSE),"")</f>
        <v/>
      </c>
      <c r="E203" s="15"/>
      <c r="F203" s="7">
        <f>IFERROR(VLOOKUP(C203,Products!$A$2:$G$204,6,FALSE),0)</f>
        <v>0</v>
      </c>
      <c r="G203" s="7"/>
      <c r="H203" s="7"/>
      <c r="I203" s="7">
        <f>IF(OR(E203="",F203=""),0,MAX(0,(E203*F203-G203+H203)*IFERROR(VLOOKUP(C203,Products!$A$2:$G$204,7,FALSE),0)))</f>
        <v>0</v>
      </c>
      <c r="J203" s="7"/>
      <c r="K203" s="7">
        <f>IF(OR(E203="",F203=""),0,E203*F203)</f>
        <v>0</v>
      </c>
      <c r="L203" s="7">
        <f>IF(E203="",0,K203-G203+H203-I203-J203)</f>
        <v>0</v>
      </c>
      <c r="M203" s="7">
        <f>IFERROR(E203*VLOOKUP(C203,Products!$A$2:$G$204,4,FALSE),0)</f>
        <v>0</v>
      </c>
      <c r="N203" s="7">
        <f>IFERROR(E203*VLOOKUP(C203,Products!$A$2:$G$204,5,FALSE),0)</f>
        <v>0</v>
      </c>
      <c r="O203" s="7">
        <f>IF(E203="",0,L203-M203-N203)</f>
        <v>0</v>
      </c>
      <c r="P203" s="6"/>
      <c r="Q203" s="6"/>
    </row>
    <row r="204" spans="1:17" x14ac:dyDescent="0.2">
      <c r="A204" s="12"/>
      <c r="B204" s="9"/>
      <c r="C204" s="9"/>
      <c r="D204" s="9" t="str">
        <f>IFERROR(VLOOKUP(C204,Products!$A$2:$G$204,2,FALSE),"")</f>
        <v/>
      </c>
      <c r="E204" s="13"/>
      <c r="F204" s="10">
        <f>IFERROR(VLOOKUP(C204,Products!$A$2:$G$204,6,FALSE),0)</f>
        <v>0</v>
      </c>
      <c r="G204" s="10"/>
      <c r="H204" s="10"/>
      <c r="I204" s="10">
        <f>IF(OR(E204="",F204=""),0,MAX(0,(E204*F204-G204+H204)*IFERROR(VLOOKUP(C204,Products!$A$2:$G$204,7,FALSE),0)))</f>
        <v>0</v>
      </c>
      <c r="J204" s="10"/>
      <c r="K204" s="10">
        <f>IF(OR(E204="",F204=""),0,E204*F204)</f>
        <v>0</v>
      </c>
      <c r="L204" s="10">
        <f>IF(E204="",0,K204-G204+H204-I204-J204)</f>
        <v>0</v>
      </c>
      <c r="M204" s="10">
        <f>IFERROR(E204*VLOOKUP(C204,Products!$A$2:$G$204,4,FALSE),0)</f>
        <v>0</v>
      </c>
      <c r="N204" s="10">
        <f>IFERROR(E204*VLOOKUP(C204,Products!$A$2:$G$204,5,FALSE),0)</f>
        <v>0</v>
      </c>
      <c r="O204" s="10">
        <f>IF(E204="",0,L204-M204-N204)</f>
        <v>0</v>
      </c>
      <c r="P204" s="9"/>
      <c r="Q204" s="9"/>
    </row>
    <row r="205" spans="1:17" x14ac:dyDescent="0.2">
      <c r="A205" s="14"/>
      <c r="B205" s="6"/>
      <c r="C205" s="6"/>
      <c r="D205" s="6" t="str">
        <f>IFERROR(VLOOKUP(C205,Products!$A$2:$G$204,2,FALSE),"")</f>
        <v/>
      </c>
      <c r="E205" s="15"/>
      <c r="F205" s="7">
        <f>IFERROR(VLOOKUP(C205,Products!$A$2:$G$204,6,FALSE),0)</f>
        <v>0</v>
      </c>
      <c r="G205" s="7"/>
      <c r="H205" s="7"/>
      <c r="I205" s="7">
        <f>IF(OR(E205="",F205=""),0,MAX(0,(E205*F205-G205+H205)*IFERROR(VLOOKUP(C205,Products!$A$2:$G$204,7,FALSE),0)))</f>
        <v>0</v>
      </c>
      <c r="J205" s="7"/>
      <c r="K205" s="7">
        <f>IF(OR(E205="",F205=""),0,E205*F205)</f>
        <v>0</v>
      </c>
      <c r="L205" s="7">
        <f>IF(E205="",0,K205-G205+H205-I205-J205)</f>
        <v>0</v>
      </c>
      <c r="M205" s="7">
        <f>IFERROR(E205*VLOOKUP(C205,Products!$A$2:$G$204,4,FALSE),0)</f>
        <v>0</v>
      </c>
      <c r="N205" s="7">
        <f>IFERROR(E205*VLOOKUP(C205,Products!$A$2:$G$204,5,FALSE),0)</f>
        <v>0</v>
      </c>
      <c r="O205" s="7">
        <f>IF(E205="",0,L205-M205-N205)</f>
        <v>0</v>
      </c>
      <c r="P205" s="6"/>
      <c r="Q205" s="6"/>
    </row>
    <row r="206" spans="1:17" x14ac:dyDescent="0.2">
      <c r="A206" s="12"/>
      <c r="B206" s="9"/>
      <c r="C206" s="9"/>
      <c r="D206" s="9" t="str">
        <f>IFERROR(VLOOKUP(C206,Products!$A$2:$G$204,2,FALSE),"")</f>
        <v/>
      </c>
      <c r="E206" s="13"/>
      <c r="F206" s="10">
        <f>IFERROR(VLOOKUP(C206,Products!$A$2:$G$204,6,FALSE),0)</f>
        <v>0</v>
      </c>
      <c r="G206" s="10"/>
      <c r="H206" s="10"/>
      <c r="I206" s="10">
        <f>IF(OR(E206="",F206=""),0,MAX(0,(E206*F206-G206+H206)*IFERROR(VLOOKUP(C206,Products!$A$2:$G$204,7,FALSE),0)))</f>
        <v>0</v>
      </c>
      <c r="J206" s="10"/>
      <c r="K206" s="10">
        <f>IF(OR(E206="",F206=""),0,E206*F206)</f>
        <v>0</v>
      </c>
      <c r="L206" s="10">
        <f>IF(E206="",0,K206-G206+H206-I206-J206)</f>
        <v>0</v>
      </c>
      <c r="M206" s="10">
        <f>IFERROR(E206*VLOOKUP(C206,Products!$A$2:$G$204,4,FALSE),0)</f>
        <v>0</v>
      </c>
      <c r="N206" s="10">
        <f>IFERROR(E206*VLOOKUP(C206,Products!$A$2:$G$204,5,FALSE),0)</f>
        <v>0</v>
      </c>
      <c r="O206" s="10">
        <f>IF(E206="",0,L206-M206-N206)</f>
        <v>0</v>
      </c>
      <c r="P206" s="9"/>
      <c r="Q206" s="9"/>
    </row>
    <row r="207" spans="1:17" x14ac:dyDescent="0.2">
      <c r="A207" s="14"/>
      <c r="B207" s="6"/>
      <c r="C207" s="6"/>
      <c r="D207" s="6" t="str">
        <f>IFERROR(VLOOKUP(C207,Products!$A$2:$G$204,2,FALSE),"")</f>
        <v/>
      </c>
      <c r="E207" s="15"/>
      <c r="F207" s="7">
        <f>IFERROR(VLOOKUP(C207,Products!$A$2:$G$204,6,FALSE),0)</f>
        <v>0</v>
      </c>
      <c r="G207" s="7"/>
      <c r="H207" s="7"/>
      <c r="I207" s="7">
        <f>IF(OR(E207="",F207=""),0,MAX(0,(E207*F207-G207+H207)*IFERROR(VLOOKUP(C207,Products!$A$2:$G$204,7,FALSE),0)))</f>
        <v>0</v>
      </c>
      <c r="J207" s="7"/>
      <c r="K207" s="7">
        <f>IF(OR(E207="",F207=""),0,E207*F207)</f>
        <v>0</v>
      </c>
      <c r="L207" s="7">
        <f>IF(E207="",0,K207-G207+H207-I207-J207)</f>
        <v>0</v>
      </c>
      <c r="M207" s="7">
        <f>IFERROR(E207*VLOOKUP(C207,Products!$A$2:$G$204,4,FALSE),0)</f>
        <v>0</v>
      </c>
      <c r="N207" s="7">
        <f>IFERROR(E207*VLOOKUP(C207,Products!$A$2:$G$204,5,FALSE),0)</f>
        <v>0</v>
      </c>
      <c r="O207" s="7">
        <f>IF(E207="",0,L207-M207-N207)</f>
        <v>0</v>
      </c>
      <c r="P207" s="6"/>
      <c r="Q207" s="6"/>
    </row>
    <row r="208" spans="1:17" x14ac:dyDescent="0.2">
      <c r="A208" s="12"/>
      <c r="B208" s="9"/>
      <c r="C208" s="9"/>
      <c r="D208" s="9" t="str">
        <f>IFERROR(VLOOKUP(C208,Products!$A$2:$G$204,2,FALSE),"")</f>
        <v/>
      </c>
      <c r="E208" s="13"/>
      <c r="F208" s="10">
        <f>IFERROR(VLOOKUP(C208,Products!$A$2:$G$204,6,FALSE),0)</f>
        <v>0</v>
      </c>
      <c r="G208" s="10"/>
      <c r="H208" s="10"/>
      <c r="I208" s="10">
        <f>IF(OR(E208="",F208=""),0,MAX(0,(E208*F208-G208+H208)*IFERROR(VLOOKUP(C208,Products!$A$2:$G$204,7,FALSE),0)))</f>
        <v>0</v>
      </c>
      <c r="J208" s="10"/>
      <c r="K208" s="10">
        <f>IF(OR(E208="",F208=""),0,E208*F208)</f>
        <v>0</v>
      </c>
      <c r="L208" s="10">
        <f>IF(E208="",0,K208-G208+H208-I208-J208)</f>
        <v>0</v>
      </c>
      <c r="M208" s="10">
        <f>IFERROR(E208*VLOOKUP(C208,Products!$A$2:$G$204,4,FALSE),0)</f>
        <v>0</v>
      </c>
      <c r="N208" s="10">
        <f>IFERROR(E208*VLOOKUP(C208,Products!$A$2:$G$204,5,FALSE),0)</f>
        <v>0</v>
      </c>
      <c r="O208" s="10">
        <f>IF(E208="",0,L208-M208-N208)</f>
        <v>0</v>
      </c>
      <c r="P208" s="9"/>
      <c r="Q208" s="9"/>
    </row>
    <row r="209" spans="1:17" x14ac:dyDescent="0.2">
      <c r="A209" s="14"/>
      <c r="B209" s="6"/>
      <c r="C209" s="6"/>
      <c r="D209" s="6" t="str">
        <f>IFERROR(VLOOKUP(C209,Products!$A$2:$G$204,2,FALSE),"")</f>
        <v/>
      </c>
      <c r="E209" s="15"/>
      <c r="F209" s="7">
        <f>IFERROR(VLOOKUP(C209,Products!$A$2:$G$204,6,FALSE),0)</f>
        <v>0</v>
      </c>
      <c r="G209" s="7"/>
      <c r="H209" s="7"/>
      <c r="I209" s="7">
        <f>IF(OR(E209="",F209=""),0,MAX(0,(E209*F209-G209+H209)*IFERROR(VLOOKUP(C209,Products!$A$2:$G$204,7,FALSE),0)))</f>
        <v>0</v>
      </c>
      <c r="J209" s="7"/>
      <c r="K209" s="7">
        <f>IF(OR(E209="",F209=""),0,E209*F209)</f>
        <v>0</v>
      </c>
      <c r="L209" s="7">
        <f>IF(E209="",0,K209-G209+H209-I209-J209)</f>
        <v>0</v>
      </c>
      <c r="M209" s="7">
        <f>IFERROR(E209*VLOOKUP(C209,Products!$A$2:$G$204,4,FALSE),0)</f>
        <v>0</v>
      </c>
      <c r="N209" s="7">
        <f>IFERROR(E209*VLOOKUP(C209,Products!$A$2:$G$204,5,FALSE),0)</f>
        <v>0</v>
      </c>
      <c r="O209" s="7">
        <f>IF(E209="",0,L209-M209-N209)</f>
        <v>0</v>
      </c>
      <c r="P209" s="6"/>
      <c r="Q209" s="6"/>
    </row>
    <row r="210" spans="1:17" x14ac:dyDescent="0.2">
      <c r="A210" s="12"/>
      <c r="B210" s="9"/>
      <c r="C210" s="9"/>
      <c r="D210" s="9" t="str">
        <f>IFERROR(VLOOKUP(C210,Products!$A$2:$G$204,2,FALSE),"")</f>
        <v/>
      </c>
      <c r="E210" s="13"/>
      <c r="F210" s="10">
        <f>IFERROR(VLOOKUP(C210,Products!$A$2:$G$204,6,FALSE),0)</f>
        <v>0</v>
      </c>
      <c r="G210" s="10"/>
      <c r="H210" s="10"/>
      <c r="I210" s="10">
        <f>IF(OR(E210="",F210=""),0,MAX(0,(E210*F210-G210+H210)*IFERROR(VLOOKUP(C210,Products!$A$2:$G$204,7,FALSE),0)))</f>
        <v>0</v>
      </c>
      <c r="J210" s="10"/>
      <c r="K210" s="10">
        <f>IF(OR(E210="",F210=""),0,E210*F210)</f>
        <v>0</v>
      </c>
      <c r="L210" s="10">
        <f>IF(E210="",0,K210-G210+H210-I210-J210)</f>
        <v>0</v>
      </c>
      <c r="M210" s="10">
        <f>IFERROR(E210*VLOOKUP(C210,Products!$A$2:$G$204,4,FALSE),0)</f>
        <v>0</v>
      </c>
      <c r="N210" s="10">
        <f>IFERROR(E210*VLOOKUP(C210,Products!$A$2:$G$204,5,FALSE),0)</f>
        <v>0</v>
      </c>
      <c r="O210" s="10">
        <f>IF(E210="",0,L210-M210-N210)</f>
        <v>0</v>
      </c>
      <c r="P210" s="9"/>
      <c r="Q210" s="9"/>
    </row>
    <row r="211" spans="1:17" x14ac:dyDescent="0.2">
      <c r="A211" s="14"/>
      <c r="B211" s="6"/>
      <c r="C211" s="6"/>
      <c r="D211" s="6" t="str">
        <f>IFERROR(VLOOKUP(C211,Products!$A$2:$G$204,2,FALSE),"")</f>
        <v/>
      </c>
      <c r="E211" s="15"/>
      <c r="F211" s="7">
        <f>IFERROR(VLOOKUP(C211,Products!$A$2:$G$204,6,FALSE),0)</f>
        <v>0</v>
      </c>
      <c r="G211" s="7"/>
      <c r="H211" s="7"/>
      <c r="I211" s="7">
        <f>IF(OR(E211="",F211=""),0,MAX(0,(E211*F211-G211+H211)*IFERROR(VLOOKUP(C211,Products!$A$2:$G$204,7,FALSE),0)))</f>
        <v>0</v>
      </c>
      <c r="J211" s="7"/>
      <c r="K211" s="7">
        <f>IF(OR(E211="",F211=""),0,E211*F211)</f>
        <v>0</v>
      </c>
      <c r="L211" s="7">
        <f>IF(E211="",0,K211-G211+H211-I211-J211)</f>
        <v>0</v>
      </c>
      <c r="M211" s="7">
        <f>IFERROR(E211*VLOOKUP(C211,Products!$A$2:$G$204,4,FALSE),0)</f>
        <v>0</v>
      </c>
      <c r="N211" s="7">
        <f>IFERROR(E211*VLOOKUP(C211,Products!$A$2:$G$204,5,FALSE),0)</f>
        <v>0</v>
      </c>
      <c r="O211" s="7">
        <f>IF(E211="",0,L211-M211-N211)</f>
        <v>0</v>
      </c>
      <c r="P211" s="6"/>
      <c r="Q211" s="6"/>
    </row>
    <row r="212" spans="1:17" x14ac:dyDescent="0.2">
      <c r="A212" s="12"/>
      <c r="B212" s="9"/>
      <c r="C212" s="9"/>
      <c r="D212" s="9" t="str">
        <f>IFERROR(VLOOKUP(C212,Products!$A$2:$G$204,2,FALSE),"")</f>
        <v/>
      </c>
      <c r="E212" s="13"/>
      <c r="F212" s="10">
        <f>IFERROR(VLOOKUP(C212,Products!$A$2:$G$204,6,FALSE),0)</f>
        <v>0</v>
      </c>
      <c r="G212" s="10"/>
      <c r="H212" s="10"/>
      <c r="I212" s="10">
        <f>IF(OR(E212="",F212=""),0,MAX(0,(E212*F212-G212+H212)*IFERROR(VLOOKUP(C212,Products!$A$2:$G$204,7,FALSE),0)))</f>
        <v>0</v>
      </c>
      <c r="J212" s="10"/>
      <c r="K212" s="10">
        <f>IF(OR(E212="",F212=""),0,E212*F212)</f>
        <v>0</v>
      </c>
      <c r="L212" s="10">
        <f>IF(E212="",0,K212-G212+H212-I212-J212)</f>
        <v>0</v>
      </c>
      <c r="M212" s="10">
        <f>IFERROR(E212*VLOOKUP(C212,Products!$A$2:$G$204,4,FALSE),0)</f>
        <v>0</v>
      </c>
      <c r="N212" s="10">
        <f>IFERROR(E212*VLOOKUP(C212,Products!$A$2:$G$204,5,FALSE),0)</f>
        <v>0</v>
      </c>
      <c r="O212" s="10">
        <f>IF(E212="",0,L212-M212-N212)</f>
        <v>0</v>
      </c>
      <c r="P212" s="9"/>
      <c r="Q212" s="9"/>
    </row>
    <row r="213" spans="1:17" x14ac:dyDescent="0.2">
      <c r="A213" s="14"/>
      <c r="B213" s="6"/>
      <c r="C213" s="6"/>
      <c r="D213" s="6" t="str">
        <f>IFERROR(VLOOKUP(C213,Products!$A$2:$G$204,2,FALSE),"")</f>
        <v/>
      </c>
      <c r="E213" s="15"/>
      <c r="F213" s="7">
        <f>IFERROR(VLOOKUP(C213,Products!$A$2:$G$204,6,FALSE),0)</f>
        <v>0</v>
      </c>
      <c r="G213" s="7"/>
      <c r="H213" s="7"/>
      <c r="I213" s="7">
        <f>IF(OR(E213="",F213=""),0,MAX(0,(E213*F213-G213+H213)*IFERROR(VLOOKUP(C213,Products!$A$2:$G$204,7,FALSE),0)))</f>
        <v>0</v>
      </c>
      <c r="J213" s="7"/>
      <c r="K213" s="7">
        <f>IF(OR(E213="",F213=""),0,E213*F213)</f>
        <v>0</v>
      </c>
      <c r="L213" s="7">
        <f>IF(E213="",0,K213-G213+H213-I213-J213)</f>
        <v>0</v>
      </c>
      <c r="M213" s="7">
        <f>IFERROR(E213*VLOOKUP(C213,Products!$A$2:$G$204,4,FALSE),0)</f>
        <v>0</v>
      </c>
      <c r="N213" s="7">
        <f>IFERROR(E213*VLOOKUP(C213,Products!$A$2:$G$204,5,FALSE),0)</f>
        <v>0</v>
      </c>
      <c r="O213" s="7">
        <f>IF(E213="",0,L213-M213-N213)</f>
        <v>0</v>
      </c>
      <c r="P213" s="6"/>
      <c r="Q213" s="6"/>
    </row>
    <row r="214" spans="1:17" x14ac:dyDescent="0.2">
      <c r="A214" s="12"/>
      <c r="B214" s="9"/>
      <c r="C214" s="9"/>
      <c r="D214" s="9" t="str">
        <f>IFERROR(VLOOKUP(C214,Products!$A$2:$G$204,2,FALSE),"")</f>
        <v/>
      </c>
      <c r="E214" s="13"/>
      <c r="F214" s="10">
        <f>IFERROR(VLOOKUP(C214,Products!$A$2:$G$204,6,FALSE),0)</f>
        <v>0</v>
      </c>
      <c r="G214" s="10"/>
      <c r="H214" s="10"/>
      <c r="I214" s="10">
        <f>IF(OR(E214="",F214=""),0,MAX(0,(E214*F214-G214+H214)*IFERROR(VLOOKUP(C214,Products!$A$2:$G$204,7,FALSE),0)))</f>
        <v>0</v>
      </c>
      <c r="J214" s="10"/>
      <c r="K214" s="10">
        <f>IF(OR(E214="",F214=""),0,E214*F214)</f>
        <v>0</v>
      </c>
      <c r="L214" s="10">
        <f>IF(E214="",0,K214-G214+H214-I214-J214)</f>
        <v>0</v>
      </c>
      <c r="M214" s="10">
        <f>IFERROR(E214*VLOOKUP(C214,Products!$A$2:$G$204,4,FALSE),0)</f>
        <v>0</v>
      </c>
      <c r="N214" s="10">
        <f>IFERROR(E214*VLOOKUP(C214,Products!$A$2:$G$204,5,FALSE),0)</f>
        <v>0</v>
      </c>
      <c r="O214" s="10">
        <f>IF(E214="",0,L214-M214-N214)</f>
        <v>0</v>
      </c>
      <c r="P214" s="9"/>
      <c r="Q214" s="9"/>
    </row>
    <row r="215" spans="1:17" x14ac:dyDescent="0.2">
      <c r="A215" s="14"/>
      <c r="B215" s="6"/>
      <c r="C215" s="6"/>
      <c r="D215" s="6" t="str">
        <f>IFERROR(VLOOKUP(C215,Products!$A$2:$G$204,2,FALSE),"")</f>
        <v/>
      </c>
      <c r="E215" s="15"/>
      <c r="F215" s="7">
        <f>IFERROR(VLOOKUP(C215,Products!$A$2:$G$204,6,FALSE),0)</f>
        <v>0</v>
      </c>
      <c r="G215" s="7"/>
      <c r="H215" s="7"/>
      <c r="I215" s="7">
        <f>IF(OR(E215="",F215=""),0,MAX(0,(E215*F215-G215+H215)*IFERROR(VLOOKUP(C215,Products!$A$2:$G$204,7,FALSE),0)))</f>
        <v>0</v>
      </c>
      <c r="J215" s="7"/>
      <c r="K215" s="7">
        <f>IF(OR(E215="",F215=""),0,E215*F215)</f>
        <v>0</v>
      </c>
      <c r="L215" s="7">
        <f>IF(E215="",0,K215-G215+H215-I215-J215)</f>
        <v>0</v>
      </c>
      <c r="M215" s="7">
        <f>IFERROR(E215*VLOOKUP(C215,Products!$A$2:$G$204,4,FALSE),0)</f>
        <v>0</v>
      </c>
      <c r="N215" s="7">
        <f>IFERROR(E215*VLOOKUP(C215,Products!$A$2:$G$204,5,FALSE),0)</f>
        <v>0</v>
      </c>
      <c r="O215" s="7">
        <f>IF(E215="",0,L215-M215-N215)</f>
        <v>0</v>
      </c>
      <c r="P215" s="6"/>
      <c r="Q215" s="6"/>
    </row>
    <row r="216" spans="1:17" x14ac:dyDescent="0.2">
      <c r="A216" s="12"/>
      <c r="B216" s="9"/>
      <c r="C216" s="9"/>
      <c r="D216" s="9" t="str">
        <f>IFERROR(VLOOKUP(C216,Products!$A$2:$G$204,2,FALSE),"")</f>
        <v/>
      </c>
      <c r="E216" s="13"/>
      <c r="F216" s="10">
        <f>IFERROR(VLOOKUP(C216,Products!$A$2:$G$204,6,FALSE),0)</f>
        <v>0</v>
      </c>
      <c r="G216" s="10"/>
      <c r="H216" s="10"/>
      <c r="I216" s="10">
        <f>IF(OR(E216="",F216=""),0,MAX(0,(E216*F216-G216+H216)*IFERROR(VLOOKUP(C216,Products!$A$2:$G$204,7,FALSE),0)))</f>
        <v>0</v>
      </c>
      <c r="J216" s="10"/>
      <c r="K216" s="10">
        <f>IF(OR(E216="",F216=""),0,E216*F216)</f>
        <v>0</v>
      </c>
      <c r="L216" s="10">
        <f>IF(E216="",0,K216-G216+H216-I216-J216)</f>
        <v>0</v>
      </c>
      <c r="M216" s="10">
        <f>IFERROR(E216*VLOOKUP(C216,Products!$A$2:$G$204,4,FALSE),0)</f>
        <v>0</v>
      </c>
      <c r="N216" s="10">
        <f>IFERROR(E216*VLOOKUP(C216,Products!$A$2:$G$204,5,FALSE),0)</f>
        <v>0</v>
      </c>
      <c r="O216" s="10">
        <f>IF(E216="",0,L216-M216-N216)</f>
        <v>0</v>
      </c>
      <c r="P216" s="9"/>
      <c r="Q216" s="9"/>
    </row>
    <row r="217" spans="1:17" x14ac:dyDescent="0.2">
      <c r="A217" s="14"/>
      <c r="B217" s="6"/>
      <c r="C217" s="6"/>
      <c r="D217" s="6" t="str">
        <f>IFERROR(VLOOKUP(C217,Products!$A$2:$G$204,2,FALSE),"")</f>
        <v/>
      </c>
      <c r="E217" s="15"/>
      <c r="F217" s="7">
        <f>IFERROR(VLOOKUP(C217,Products!$A$2:$G$204,6,FALSE),0)</f>
        <v>0</v>
      </c>
      <c r="G217" s="7"/>
      <c r="H217" s="7"/>
      <c r="I217" s="7">
        <f>IF(OR(E217="",F217=""),0,MAX(0,(E217*F217-G217+H217)*IFERROR(VLOOKUP(C217,Products!$A$2:$G$204,7,FALSE),0)))</f>
        <v>0</v>
      </c>
      <c r="J217" s="7"/>
      <c r="K217" s="7">
        <f>IF(OR(E217="",F217=""),0,E217*F217)</f>
        <v>0</v>
      </c>
      <c r="L217" s="7">
        <f>IF(E217="",0,K217-G217+H217-I217-J217)</f>
        <v>0</v>
      </c>
      <c r="M217" s="7">
        <f>IFERROR(E217*VLOOKUP(C217,Products!$A$2:$G$204,4,FALSE),0)</f>
        <v>0</v>
      </c>
      <c r="N217" s="7">
        <f>IFERROR(E217*VLOOKUP(C217,Products!$A$2:$G$204,5,FALSE),0)</f>
        <v>0</v>
      </c>
      <c r="O217" s="7">
        <f>IF(E217="",0,L217-M217-N217)</f>
        <v>0</v>
      </c>
      <c r="P217" s="6"/>
      <c r="Q217" s="6"/>
    </row>
    <row r="218" spans="1:17" x14ac:dyDescent="0.2">
      <c r="A218" s="12"/>
      <c r="B218" s="9"/>
      <c r="C218" s="9"/>
      <c r="D218" s="9" t="str">
        <f>IFERROR(VLOOKUP(C218,Products!$A$2:$G$204,2,FALSE),"")</f>
        <v/>
      </c>
      <c r="E218" s="13"/>
      <c r="F218" s="10">
        <f>IFERROR(VLOOKUP(C218,Products!$A$2:$G$204,6,FALSE),0)</f>
        <v>0</v>
      </c>
      <c r="G218" s="10"/>
      <c r="H218" s="10"/>
      <c r="I218" s="10">
        <f>IF(OR(E218="",F218=""),0,MAX(0,(E218*F218-G218+H218)*IFERROR(VLOOKUP(C218,Products!$A$2:$G$204,7,FALSE),0)))</f>
        <v>0</v>
      </c>
      <c r="J218" s="10"/>
      <c r="K218" s="10">
        <f>IF(OR(E218="",F218=""),0,E218*F218)</f>
        <v>0</v>
      </c>
      <c r="L218" s="10">
        <f>IF(E218="",0,K218-G218+H218-I218-J218)</f>
        <v>0</v>
      </c>
      <c r="M218" s="10">
        <f>IFERROR(E218*VLOOKUP(C218,Products!$A$2:$G$204,4,FALSE),0)</f>
        <v>0</v>
      </c>
      <c r="N218" s="10">
        <f>IFERROR(E218*VLOOKUP(C218,Products!$A$2:$G$204,5,FALSE),0)</f>
        <v>0</v>
      </c>
      <c r="O218" s="10">
        <f>IF(E218="",0,L218-M218-N218)</f>
        <v>0</v>
      </c>
      <c r="P218" s="9"/>
      <c r="Q218" s="9"/>
    </row>
    <row r="219" spans="1:17" x14ac:dyDescent="0.2">
      <c r="A219" s="14"/>
      <c r="B219" s="6"/>
      <c r="C219" s="6"/>
      <c r="D219" s="6" t="str">
        <f>IFERROR(VLOOKUP(C219,Products!$A$2:$G$204,2,FALSE),"")</f>
        <v/>
      </c>
      <c r="E219" s="15"/>
      <c r="F219" s="7">
        <f>IFERROR(VLOOKUP(C219,Products!$A$2:$G$204,6,FALSE),0)</f>
        <v>0</v>
      </c>
      <c r="G219" s="7"/>
      <c r="H219" s="7"/>
      <c r="I219" s="7">
        <f>IF(OR(E219="",F219=""),0,MAX(0,(E219*F219-G219+H219)*IFERROR(VLOOKUP(C219,Products!$A$2:$G$204,7,FALSE),0)))</f>
        <v>0</v>
      </c>
      <c r="J219" s="7"/>
      <c r="K219" s="7">
        <f>IF(OR(E219="",F219=""),0,E219*F219)</f>
        <v>0</v>
      </c>
      <c r="L219" s="7">
        <f>IF(E219="",0,K219-G219+H219-I219-J219)</f>
        <v>0</v>
      </c>
      <c r="M219" s="7">
        <f>IFERROR(E219*VLOOKUP(C219,Products!$A$2:$G$204,4,FALSE),0)</f>
        <v>0</v>
      </c>
      <c r="N219" s="7">
        <f>IFERROR(E219*VLOOKUP(C219,Products!$A$2:$G$204,5,FALSE),0)</f>
        <v>0</v>
      </c>
      <c r="O219" s="7">
        <f>IF(E219="",0,L219-M219-N219)</f>
        <v>0</v>
      </c>
      <c r="P219" s="6"/>
      <c r="Q219" s="6"/>
    </row>
    <row r="220" spans="1:17" x14ac:dyDescent="0.2">
      <c r="A220" s="12"/>
      <c r="B220" s="9"/>
      <c r="C220" s="9"/>
      <c r="D220" s="9" t="str">
        <f>IFERROR(VLOOKUP(C220,Products!$A$2:$G$204,2,FALSE),"")</f>
        <v/>
      </c>
      <c r="E220" s="13"/>
      <c r="F220" s="10">
        <f>IFERROR(VLOOKUP(C220,Products!$A$2:$G$204,6,FALSE),0)</f>
        <v>0</v>
      </c>
      <c r="G220" s="10"/>
      <c r="H220" s="10"/>
      <c r="I220" s="10">
        <f>IF(OR(E220="",F220=""),0,MAX(0,(E220*F220-G220+H220)*IFERROR(VLOOKUP(C220,Products!$A$2:$G$204,7,FALSE),0)))</f>
        <v>0</v>
      </c>
      <c r="J220" s="10"/>
      <c r="K220" s="10">
        <f>IF(OR(E220="",F220=""),0,E220*F220)</f>
        <v>0</v>
      </c>
      <c r="L220" s="10">
        <f>IF(E220="",0,K220-G220+H220-I220-J220)</f>
        <v>0</v>
      </c>
      <c r="M220" s="10">
        <f>IFERROR(E220*VLOOKUP(C220,Products!$A$2:$G$204,4,FALSE),0)</f>
        <v>0</v>
      </c>
      <c r="N220" s="10">
        <f>IFERROR(E220*VLOOKUP(C220,Products!$A$2:$G$204,5,FALSE),0)</f>
        <v>0</v>
      </c>
      <c r="O220" s="10">
        <f>IF(E220="",0,L220-M220-N220)</f>
        <v>0</v>
      </c>
      <c r="P220" s="9"/>
      <c r="Q220" s="9"/>
    </row>
    <row r="221" spans="1:17" x14ac:dyDescent="0.2">
      <c r="A221" s="14"/>
      <c r="B221" s="6"/>
      <c r="C221" s="6"/>
      <c r="D221" s="6" t="str">
        <f>IFERROR(VLOOKUP(C221,Products!$A$2:$G$204,2,FALSE),"")</f>
        <v/>
      </c>
      <c r="E221" s="15"/>
      <c r="F221" s="7">
        <f>IFERROR(VLOOKUP(C221,Products!$A$2:$G$204,6,FALSE),0)</f>
        <v>0</v>
      </c>
      <c r="G221" s="7"/>
      <c r="H221" s="7"/>
      <c r="I221" s="7">
        <f>IF(OR(E221="",F221=""),0,MAX(0,(E221*F221-G221+H221)*IFERROR(VLOOKUP(C221,Products!$A$2:$G$204,7,FALSE),0)))</f>
        <v>0</v>
      </c>
      <c r="J221" s="7"/>
      <c r="K221" s="7">
        <f>IF(OR(E221="",F221=""),0,E221*F221)</f>
        <v>0</v>
      </c>
      <c r="L221" s="7">
        <f>IF(E221="",0,K221-G221+H221-I221-J221)</f>
        <v>0</v>
      </c>
      <c r="M221" s="7">
        <f>IFERROR(E221*VLOOKUP(C221,Products!$A$2:$G$204,4,FALSE),0)</f>
        <v>0</v>
      </c>
      <c r="N221" s="7">
        <f>IFERROR(E221*VLOOKUP(C221,Products!$A$2:$G$204,5,FALSE),0)</f>
        <v>0</v>
      </c>
      <c r="O221" s="7">
        <f>IF(E221="",0,L221-M221-N221)</f>
        <v>0</v>
      </c>
      <c r="P221" s="6"/>
      <c r="Q221" s="6"/>
    </row>
    <row r="222" spans="1:17" x14ac:dyDescent="0.2">
      <c r="A222" s="12"/>
      <c r="B222" s="9"/>
      <c r="C222" s="9"/>
      <c r="D222" s="9" t="str">
        <f>IFERROR(VLOOKUP(C222,Products!$A$2:$G$204,2,FALSE),"")</f>
        <v/>
      </c>
      <c r="E222" s="13"/>
      <c r="F222" s="10">
        <f>IFERROR(VLOOKUP(C222,Products!$A$2:$G$204,6,FALSE),0)</f>
        <v>0</v>
      </c>
      <c r="G222" s="10"/>
      <c r="H222" s="10"/>
      <c r="I222" s="10">
        <f>IF(OR(E222="",F222=""),0,MAX(0,(E222*F222-G222+H222)*IFERROR(VLOOKUP(C222,Products!$A$2:$G$204,7,FALSE),0)))</f>
        <v>0</v>
      </c>
      <c r="J222" s="10"/>
      <c r="K222" s="10">
        <f>IF(OR(E222="",F222=""),0,E222*F222)</f>
        <v>0</v>
      </c>
      <c r="L222" s="10">
        <f>IF(E222="",0,K222-G222+H222-I222-J222)</f>
        <v>0</v>
      </c>
      <c r="M222" s="10">
        <f>IFERROR(E222*VLOOKUP(C222,Products!$A$2:$G$204,4,FALSE),0)</f>
        <v>0</v>
      </c>
      <c r="N222" s="10">
        <f>IFERROR(E222*VLOOKUP(C222,Products!$A$2:$G$204,5,FALSE),0)</f>
        <v>0</v>
      </c>
      <c r="O222" s="10">
        <f>IF(E222="",0,L222-M222-N222)</f>
        <v>0</v>
      </c>
      <c r="P222" s="9"/>
      <c r="Q222" s="9"/>
    </row>
    <row r="223" spans="1:17" x14ac:dyDescent="0.2">
      <c r="A223" s="14"/>
      <c r="B223" s="6"/>
      <c r="C223" s="6"/>
      <c r="D223" s="6" t="str">
        <f>IFERROR(VLOOKUP(C223,Products!$A$2:$G$204,2,FALSE),"")</f>
        <v/>
      </c>
      <c r="E223" s="15"/>
      <c r="F223" s="7">
        <f>IFERROR(VLOOKUP(C223,Products!$A$2:$G$204,6,FALSE),0)</f>
        <v>0</v>
      </c>
      <c r="G223" s="7"/>
      <c r="H223" s="7"/>
      <c r="I223" s="7">
        <f>IF(OR(E223="",F223=""),0,MAX(0,(E223*F223-G223+H223)*IFERROR(VLOOKUP(C223,Products!$A$2:$G$204,7,FALSE),0)))</f>
        <v>0</v>
      </c>
      <c r="J223" s="7"/>
      <c r="K223" s="7">
        <f>IF(OR(E223="",F223=""),0,E223*F223)</f>
        <v>0</v>
      </c>
      <c r="L223" s="7">
        <f>IF(E223="",0,K223-G223+H223-I223-J223)</f>
        <v>0</v>
      </c>
      <c r="M223" s="7">
        <f>IFERROR(E223*VLOOKUP(C223,Products!$A$2:$G$204,4,FALSE),0)</f>
        <v>0</v>
      </c>
      <c r="N223" s="7">
        <f>IFERROR(E223*VLOOKUP(C223,Products!$A$2:$G$204,5,FALSE),0)</f>
        <v>0</v>
      </c>
      <c r="O223" s="7">
        <f>IF(E223="",0,L223-M223-N223)</f>
        <v>0</v>
      </c>
      <c r="P223" s="6"/>
      <c r="Q223" s="6"/>
    </row>
    <row r="224" spans="1:17" x14ac:dyDescent="0.2">
      <c r="A224" s="12"/>
      <c r="B224" s="9"/>
      <c r="C224" s="9"/>
      <c r="D224" s="9" t="str">
        <f>IFERROR(VLOOKUP(C224,Products!$A$2:$G$204,2,FALSE),"")</f>
        <v/>
      </c>
      <c r="E224" s="13"/>
      <c r="F224" s="10">
        <f>IFERROR(VLOOKUP(C224,Products!$A$2:$G$204,6,FALSE),0)</f>
        <v>0</v>
      </c>
      <c r="G224" s="10"/>
      <c r="H224" s="10"/>
      <c r="I224" s="10">
        <f>IF(OR(E224="",F224=""),0,MAX(0,(E224*F224-G224+H224)*IFERROR(VLOOKUP(C224,Products!$A$2:$G$204,7,FALSE),0)))</f>
        <v>0</v>
      </c>
      <c r="J224" s="10"/>
      <c r="K224" s="10">
        <f>IF(OR(E224="",F224=""),0,E224*F224)</f>
        <v>0</v>
      </c>
      <c r="L224" s="10">
        <f>IF(E224="",0,K224-G224+H224-I224-J224)</f>
        <v>0</v>
      </c>
      <c r="M224" s="10">
        <f>IFERROR(E224*VLOOKUP(C224,Products!$A$2:$G$204,4,FALSE),0)</f>
        <v>0</v>
      </c>
      <c r="N224" s="10">
        <f>IFERROR(E224*VLOOKUP(C224,Products!$A$2:$G$204,5,FALSE),0)</f>
        <v>0</v>
      </c>
      <c r="O224" s="10">
        <f>IF(E224="",0,L224-M224-N224)</f>
        <v>0</v>
      </c>
      <c r="P224" s="9"/>
      <c r="Q224" s="9"/>
    </row>
    <row r="225" spans="1:17" x14ac:dyDescent="0.2">
      <c r="A225" s="14"/>
      <c r="B225" s="6"/>
      <c r="C225" s="6"/>
      <c r="D225" s="6" t="str">
        <f>IFERROR(VLOOKUP(C225,Products!$A$2:$G$204,2,FALSE),"")</f>
        <v/>
      </c>
      <c r="E225" s="15"/>
      <c r="F225" s="7">
        <f>IFERROR(VLOOKUP(C225,Products!$A$2:$G$204,6,FALSE),0)</f>
        <v>0</v>
      </c>
      <c r="G225" s="7"/>
      <c r="H225" s="7"/>
      <c r="I225" s="7">
        <f>IF(OR(E225="",F225=""),0,MAX(0,(E225*F225-G225+H225)*IFERROR(VLOOKUP(C225,Products!$A$2:$G$204,7,FALSE),0)))</f>
        <v>0</v>
      </c>
      <c r="J225" s="7"/>
      <c r="K225" s="7">
        <f>IF(OR(E225="",F225=""),0,E225*F225)</f>
        <v>0</v>
      </c>
      <c r="L225" s="7">
        <f>IF(E225="",0,K225-G225+H225-I225-J225)</f>
        <v>0</v>
      </c>
      <c r="M225" s="7">
        <f>IFERROR(E225*VLOOKUP(C225,Products!$A$2:$G$204,4,FALSE),0)</f>
        <v>0</v>
      </c>
      <c r="N225" s="7">
        <f>IFERROR(E225*VLOOKUP(C225,Products!$A$2:$G$204,5,FALSE),0)</f>
        <v>0</v>
      </c>
      <c r="O225" s="7">
        <f>IF(E225="",0,L225-M225-N225)</f>
        <v>0</v>
      </c>
      <c r="P225" s="6"/>
      <c r="Q225" s="6"/>
    </row>
    <row r="226" spans="1:17" x14ac:dyDescent="0.2">
      <c r="A226" s="12"/>
      <c r="B226" s="9"/>
      <c r="C226" s="9"/>
      <c r="D226" s="9" t="str">
        <f>IFERROR(VLOOKUP(C226,Products!$A$2:$G$204,2,FALSE),"")</f>
        <v/>
      </c>
      <c r="E226" s="13"/>
      <c r="F226" s="10">
        <f>IFERROR(VLOOKUP(C226,Products!$A$2:$G$204,6,FALSE),0)</f>
        <v>0</v>
      </c>
      <c r="G226" s="10"/>
      <c r="H226" s="10"/>
      <c r="I226" s="10">
        <f>IF(OR(E226="",F226=""),0,MAX(0,(E226*F226-G226+H226)*IFERROR(VLOOKUP(C226,Products!$A$2:$G$204,7,FALSE),0)))</f>
        <v>0</v>
      </c>
      <c r="J226" s="10"/>
      <c r="K226" s="10">
        <f>IF(OR(E226="",F226=""),0,E226*F226)</f>
        <v>0</v>
      </c>
      <c r="L226" s="10">
        <f>IF(E226="",0,K226-G226+H226-I226-J226)</f>
        <v>0</v>
      </c>
      <c r="M226" s="10">
        <f>IFERROR(E226*VLOOKUP(C226,Products!$A$2:$G$204,4,FALSE),0)</f>
        <v>0</v>
      </c>
      <c r="N226" s="10">
        <f>IFERROR(E226*VLOOKUP(C226,Products!$A$2:$G$204,5,FALSE),0)</f>
        <v>0</v>
      </c>
      <c r="O226" s="10">
        <f>IF(E226="",0,L226-M226-N226)</f>
        <v>0</v>
      </c>
      <c r="P226" s="9"/>
      <c r="Q226" s="9"/>
    </row>
    <row r="227" spans="1:17" x14ac:dyDescent="0.2">
      <c r="A227" s="14"/>
      <c r="B227" s="6"/>
      <c r="C227" s="6"/>
      <c r="D227" s="6" t="str">
        <f>IFERROR(VLOOKUP(C227,Products!$A$2:$G$204,2,FALSE),"")</f>
        <v/>
      </c>
      <c r="E227" s="15"/>
      <c r="F227" s="7">
        <f>IFERROR(VLOOKUP(C227,Products!$A$2:$G$204,6,FALSE),0)</f>
        <v>0</v>
      </c>
      <c r="G227" s="7"/>
      <c r="H227" s="7"/>
      <c r="I227" s="7">
        <f>IF(OR(E227="",F227=""),0,MAX(0,(E227*F227-G227+H227)*IFERROR(VLOOKUP(C227,Products!$A$2:$G$204,7,FALSE),0)))</f>
        <v>0</v>
      </c>
      <c r="J227" s="7"/>
      <c r="K227" s="7">
        <f>IF(OR(E227="",F227=""),0,E227*F227)</f>
        <v>0</v>
      </c>
      <c r="L227" s="7">
        <f>IF(E227="",0,K227-G227+H227-I227-J227)</f>
        <v>0</v>
      </c>
      <c r="M227" s="7">
        <f>IFERROR(E227*VLOOKUP(C227,Products!$A$2:$G$204,4,FALSE),0)</f>
        <v>0</v>
      </c>
      <c r="N227" s="7">
        <f>IFERROR(E227*VLOOKUP(C227,Products!$A$2:$G$204,5,FALSE),0)</f>
        <v>0</v>
      </c>
      <c r="O227" s="7">
        <f>IF(E227="",0,L227-M227-N227)</f>
        <v>0</v>
      </c>
      <c r="P227" s="6"/>
      <c r="Q227" s="6"/>
    </row>
    <row r="228" spans="1:17" x14ac:dyDescent="0.2">
      <c r="A228" s="12"/>
      <c r="B228" s="9"/>
      <c r="C228" s="9"/>
      <c r="D228" s="9" t="str">
        <f>IFERROR(VLOOKUP(C228,Products!$A$2:$G$204,2,FALSE),"")</f>
        <v/>
      </c>
      <c r="E228" s="13"/>
      <c r="F228" s="10">
        <f>IFERROR(VLOOKUP(C228,Products!$A$2:$G$204,6,FALSE),0)</f>
        <v>0</v>
      </c>
      <c r="G228" s="10"/>
      <c r="H228" s="10"/>
      <c r="I228" s="10">
        <f>IF(OR(E228="",F228=""),0,MAX(0,(E228*F228-G228+H228)*IFERROR(VLOOKUP(C228,Products!$A$2:$G$204,7,FALSE),0)))</f>
        <v>0</v>
      </c>
      <c r="J228" s="10"/>
      <c r="K228" s="10">
        <f>IF(OR(E228="",F228=""),0,E228*F228)</f>
        <v>0</v>
      </c>
      <c r="L228" s="10">
        <f>IF(E228="",0,K228-G228+H228-I228-J228)</f>
        <v>0</v>
      </c>
      <c r="M228" s="10">
        <f>IFERROR(E228*VLOOKUP(C228,Products!$A$2:$G$204,4,FALSE),0)</f>
        <v>0</v>
      </c>
      <c r="N228" s="10">
        <f>IFERROR(E228*VLOOKUP(C228,Products!$A$2:$G$204,5,FALSE),0)</f>
        <v>0</v>
      </c>
      <c r="O228" s="10">
        <f>IF(E228="",0,L228-M228-N228)</f>
        <v>0</v>
      </c>
      <c r="P228" s="9"/>
      <c r="Q228" s="9"/>
    </row>
    <row r="229" spans="1:17" x14ac:dyDescent="0.2">
      <c r="A229" s="14"/>
      <c r="B229" s="6"/>
      <c r="C229" s="6"/>
      <c r="D229" s="6" t="str">
        <f>IFERROR(VLOOKUP(C229,Products!$A$2:$G$204,2,FALSE),"")</f>
        <v/>
      </c>
      <c r="E229" s="15"/>
      <c r="F229" s="7">
        <f>IFERROR(VLOOKUP(C229,Products!$A$2:$G$204,6,FALSE),0)</f>
        <v>0</v>
      </c>
      <c r="G229" s="7"/>
      <c r="H229" s="7"/>
      <c r="I229" s="7">
        <f>IF(OR(E229="",F229=""),0,MAX(0,(E229*F229-G229+H229)*IFERROR(VLOOKUP(C229,Products!$A$2:$G$204,7,FALSE),0)))</f>
        <v>0</v>
      </c>
      <c r="J229" s="7"/>
      <c r="K229" s="7">
        <f>IF(OR(E229="",F229=""),0,E229*F229)</f>
        <v>0</v>
      </c>
      <c r="L229" s="7">
        <f>IF(E229="",0,K229-G229+H229-I229-J229)</f>
        <v>0</v>
      </c>
      <c r="M229" s="7">
        <f>IFERROR(E229*VLOOKUP(C229,Products!$A$2:$G$204,4,FALSE),0)</f>
        <v>0</v>
      </c>
      <c r="N229" s="7">
        <f>IFERROR(E229*VLOOKUP(C229,Products!$A$2:$G$204,5,FALSE),0)</f>
        <v>0</v>
      </c>
      <c r="O229" s="7">
        <f>IF(E229="",0,L229-M229-N229)</f>
        <v>0</v>
      </c>
      <c r="P229" s="6"/>
      <c r="Q229" s="6"/>
    </row>
    <row r="230" spans="1:17" x14ac:dyDescent="0.2">
      <c r="A230" s="12"/>
      <c r="B230" s="9"/>
      <c r="C230" s="9"/>
      <c r="D230" s="9" t="str">
        <f>IFERROR(VLOOKUP(C230,Products!$A$2:$G$204,2,FALSE),"")</f>
        <v/>
      </c>
      <c r="E230" s="13"/>
      <c r="F230" s="10">
        <f>IFERROR(VLOOKUP(C230,Products!$A$2:$G$204,6,FALSE),0)</f>
        <v>0</v>
      </c>
      <c r="G230" s="10"/>
      <c r="H230" s="10"/>
      <c r="I230" s="10">
        <f>IF(OR(E230="",F230=""),0,MAX(0,(E230*F230-G230+H230)*IFERROR(VLOOKUP(C230,Products!$A$2:$G$204,7,FALSE),0)))</f>
        <v>0</v>
      </c>
      <c r="J230" s="10"/>
      <c r="K230" s="10">
        <f>IF(OR(E230="",F230=""),0,E230*F230)</f>
        <v>0</v>
      </c>
      <c r="L230" s="10">
        <f>IF(E230="",0,K230-G230+H230-I230-J230)</f>
        <v>0</v>
      </c>
      <c r="M230" s="10">
        <f>IFERROR(E230*VLOOKUP(C230,Products!$A$2:$G$204,4,FALSE),0)</f>
        <v>0</v>
      </c>
      <c r="N230" s="10">
        <f>IFERROR(E230*VLOOKUP(C230,Products!$A$2:$G$204,5,FALSE),0)</f>
        <v>0</v>
      </c>
      <c r="O230" s="10">
        <f>IF(E230="",0,L230-M230-N230)</f>
        <v>0</v>
      </c>
      <c r="P230" s="9"/>
      <c r="Q230" s="9"/>
    </row>
    <row r="231" spans="1:17" x14ac:dyDescent="0.2">
      <c r="A231" s="14"/>
      <c r="B231" s="6"/>
      <c r="C231" s="6"/>
      <c r="D231" s="6" t="str">
        <f>IFERROR(VLOOKUP(C231,Products!$A$2:$G$204,2,FALSE),"")</f>
        <v/>
      </c>
      <c r="E231" s="15"/>
      <c r="F231" s="7">
        <f>IFERROR(VLOOKUP(C231,Products!$A$2:$G$204,6,FALSE),0)</f>
        <v>0</v>
      </c>
      <c r="G231" s="7"/>
      <c r="H231" s="7"/>
      <c r="I231" s="7">
        <f>IF(OR(E231="",F231=""),0,MAX(0,(E231*F231-G231+H231)*IFERROR(VLOOKUP(C231,Products!$A$2:$G$204,7,FALSE),0)))</f>
        <v>0</v>
      </c>
      <c r="J231" s="7"/>
      <c r="K231" s="7">
        <f>IF(OR(E231="",F231=""),0,E231*F231)</f>
        <v>0</v>
      </c>
      <c r="L231" s="7">
        <f>IF(E231="",0,K231-G231+H231-I231-J231)</f>
        <v>0</v>
      </c>
      <c r="M231" s="7">
        <f>IFERROR(E231*VLOOKUP(C231,Products!$A$2:$G$204,4,FALSE),0)</f>
        <v>0</v>
      </c>
      <c r="N231" s="7">
        <f>IFERROR(E231*VLOOKUP(C231,Products!$A$2:$G$204,5,FALSE),0)</f>
        <v>0</v>
      </c>
      <c r="O231" s="7">
        <f>IF(E231="",0,L231-M231-N231)</f>
        <v>0</v>
      </c>
      <c r="P231" s="6"/>
      <c r="Q231" s="6"/>
    </row>
    <row r="232" spans="1:17" x14ac:dyDescent="0.2">
      <c r="A232" s="12"/>
      <c r="B232" s="9"/>
      <c r="C232" s="9"/>
      <c r="D232" s="9" t="str">
        <f>IFERROR(VLOOKUP(C232,Products!$A$2:$G$204,2,FALSE),"")</f>
        <v/>
      </c>
      <c r="E232" s="13"/>
      <c r="F232" s="10">
        <f>IFERROR(VLOOKUP(C232,Products!$A$2:$G$204,6,FALSE),0)</f>
        <v>0</v>
      </c>
      <c r="G232" s="10"/>
      <c r="H232" s="10"/>
      <c r="I232" s="10">
        <f>IF(OR(E232="",F232=""),0,MAX(0,(E232*F232-G232+H232)*IFERROR(VLOOKUP(C232,Products!$A$2:$G$204,7,FALSE),0)))</f>
        <v>0</v>
      </c>
      <c r="J232" s="10"/>
      <c r="K232" s="10">
        <f>IF(OR(E232="",F232=""),0,E232*F232)</f>
        <v>0</v>
      </c>
      <c r="L232" s="10">
        <f>IF(E232="",0,K232-G232+H232-I232-J232)</f>
        <v>0</v>
      </c>
      <c r="M232" s="10">
        <f>IFERROR(E232*VLOOKUP(C232,Products!$A$2:$G$204,4,FALSE),0)</f>
        <v>0</v>
      </c>
      <c r="N232" s="10">
        <f>IFERROR(E232*VLOOKUP(C232,Products!$A$2:$G$204,5,FALSE),0)</f>
        <v>0</v>
      </c>
      <c r="O232" s="10">
        <f>IF(E232="",0,L232-M232-N232)</f>
        <v>0</v>
      </c>
      <c r="P232" s="9"/>
      <c r="Q232" s="9"/>
    </row>
    <row r="233" spans="1:17" x14ac:dyDescent="0.2">
      <c r="A233" s="14"/>
      <c r="B233" s="6"/>
      <c r="C233" s="6"/>
      <c r="D233" s="6" t="str">
        <f>IFERROR(VLOOKUP(C233,Products!$A$2:$G$204,2,FALSE),"")</f>
        <v/>
      </c>
      <c r="E233" s="15"/>
      <c r="F233" s="7">
        <f>IFERROR(VLOOKUP(C233,Products!$A$2:$G$204,6,FALSE),0)</f>
        <v>0</v>
      </c>
      <c r="G233" s="7"/>
      <c r="H233" s="7"/>
      <c r="I233" s="7">
        <f>IF(OR(E233="",F233=""),0,MAX(0,(E233*F233-G233+H233)*IFERROR(VLOOKUP(C233,Products!$A$2:$G$204,7,FALSE),0)))</f>
        <v>0</v>
      </c>
      <c r="J233" s="7"/>
      <c r="K233" s="7">
        <f>IF(OR(E233="",F233=""),0,E233*F233)</f>
        <v>0</v>
      </c>
      <c r="L233" s="7">
        <f>IF(E233="",0,K233-G233+H233-I233-J233)</f>
        <v>0</v>
      </c>
      <c r="M233" s="7">
        <f>IFERROR(E233*VLOOKUP(C233,Products!$A$2:$G$204,4,FALSE),0)</f>
        <v>0</v>
      </c>
      <c r="N233" s="7">
        <f>IFERROR(E233*VLOOKUP(C233,Products!$A$2:$G$204,5,FALSE),0)</f>
        <v>0</v>
      </c>
      <c r="O233" s="7">
        <f>IF(E233="",0,L233-M233-N233)</f>
        <v>0</v>
      </c>
      <c r="P233" s="6"/>
      <c r="Q233" s="6"/>
    </row>
    <row r="234" spans="1:17" x14ac:dyDescent="0.2">
      <c r="A234" s="12"/>
      <c r="B234" s="9"/>
      <c r="C234" s="9"/>
      <c r="D234" s="9" t="str">
        <f>IFERROR(VLOOKUP(C234,Products!$A$2:$G$204,2,FALSE),"")</f>
        <v/>
      </c>
      <c r="E234" s="13"/>
      <c r="F234" s="10">
        <f>IFERROR(VLOOKUP(C234,Products!$A$2:$G$204,6,FALSE),0)</f>
        <v>0</v>
      </c>
      <c r="G234" s="10"/>
      <c r="H234" s="10"/>
      <c r="I234" s="10">
        <f>IF(OR(E234="",F234=""),0,MAX(0,(E234*F234-G234+H234)*IFERROR(VLOOKUP(C234,Products!$A$2:$G$204,7,FALSE),0)))</f>
        <v>0</v>
      </c>
      <c r="J234" s="10"/>
      <c r="K234" s="10">
        <f>IF(OR(E234="",F234=""),0,E234*F234)</f>
        <v>0</v>
      </c>
      <c r="L234" s="10">
        <f>IF(E234="",0,K234-G234+H234-I234-J234)</f>
        <v>0</v>
      </c>
      <c r="M234" s="10">
        <f>IFERROR(E234*VLOOKUP(C234,Products!$A$2:$G$204,4,FALSE),0)</f>
        <v>0</v>
      </c>
      <c r="N234" s="10">
        <f>IFERROR(E234*VLOOKUP(C234,Products!$A$2:$G$204,5,FALSE),0)</f>
        <v>0</v>
      </c>
      <c r="O234" s="10">
        <f>IF(E234="",0,L234-M234-N234)</f>
        <v>0</v>
      </c>
      <c r="P234" s="9"/>
      <c r="Q234" s="9"/>
    </row>
    <row r="235" spans="1:17" x14ac:dyDescent="0.2">
      <c r="A235" s="14"/>
      <c r="B235" s="6"/>
      <c r="C235" s="6"/>
      <c r="D235" s="6" t="str">
        <f>IFERROR(VLOOKUP(C235,Products!$A$2:$G$204,2,FALSE),"")</f>
        <v/>
      </c>
      <c r="E235" s="15"/>
      <c r="F235" s="7">
        <f>IFERROR(VLOOKUP(C235,Products!$A$2:$G$204,6,FALSE),0)</f>
        <v>0</v>
      </c>
      <c r="G235" s="7"/>
      <c r="H235" s="7"/>
      <c r="I235" s="7">
        <f>IF(OR(E235="",F235=""),0,MAX(0,(E235*F235-G235+H235)*IFERROR(VLOOKUP(C235,Products!$A$2:$G$204,7,FALSE),0)))</f>
        <v>0</v>
      </c>
      <c r="J235" s="7"/>
      <c r="K235" s="7">
        <f>IF(OR(E235="",F235=""),0,E235*F235)</f>
        <v>0</v>
      </c>
      <c r="L235" s="7">
        <f>IF(E235="",0,K235-G235+H235-I235-J235)</f>
        <v>0</v>
      </c>
      <c r="M235" s="7">
        <f>IFERROR(E235*VLOOKUP(C235,Products!$A$2:$G$204,4,FALSE),0)</f>
        <v>0</v>
      </c>
      <c r="N235" s="7">
        <f>IFERROR(E235*VLOOKUP(C235,Products!$A$2:$G$204,5,FALSE),0)</f>
        <v>0</v>
      </c>
      <c r="O235" s="7">
        <f>IF(E235="",0,L235-M235-N235)</f>
        <v>0</v>
      </c>
      <c r="P235" s="6"/>
      <c r="Q235" s="6"/>
    </row>
    <row r="236" spans="1:17" x14ac:dyDescent="0.2">
      <c r="A236" s="12"/>
      <c r="B236" s="9"/>
      <c r="C236" s="9"/>
      <c r="D236" s="9" t="str">
        <f>IFERROR(VLOOKUP(C236,Products!$A$2:$G$204,2,FALSE),"")</f>
        <v/>
      </c>
      <c r="E236" s="13"/>
      <c r="F236" s="10">
        <f>IFERROR(VLOOKUP(C236,Products!$A$2:$G$204,6,FALSE),0)</f>
        <v>0</v>
      </c>
      <c r="G236" s="10"/>
      <c r="H236" s="10"/>
      <c r="I236" s="10">
        <f>IF(OR(E236="",F236=""),0,MAX(0,(E236*F236-G236+H236)*IFERROR(VLOOKUP(C236,Products!$A$2:$G$204,7,FALSE),0)))</f>
        <v>0</v>
      </c>
      <c r="J236" s="10"/>
      <c r="K236" s="10">
        <f>IF(OR(E236="",F236=""),0,E236*F236)</f>
        <v>0</v>
      </c>
      <c r="L236" s="10">
        <f>IF(E236="",0,K236-G236+H236-I236-J236)</f>
        <v>0</v>
      </c>
      <c r="M236" s="10">
        <f>IFERROR(E236*VLOOKUP(C236,Products!$A$2:$G$204,4,FALSE),0)</f>
        <v>0</v>
      </c>
      <c r="N236" s="10">
        <f>IFERROR(E236*VLOOKUP(C236,Products!$A$2:$G$204,5,FALSE),0)</f>
        <v>0</v>
      </c>
      <c r="O236" s="10">
        <f>IF(E236="",0,L236-M236-N236)</f>
        <v>0</v>
      </c>
      <c r="P236" s="9"/>
      <c r="Q236" s="9"/>
    </row>
    <row r="237" spans="1:17" x14ac:dyDescent="0.2">
      <c r="A237" s="14"/>
      <c r="B237" s="6"/>
      <c r="C237" s="6"/>
      <c r="D237" s="6" t="str">
        <f>IFERROR(VLOOKUP(C237,Products!$A$2:$G$204,2,FALSE),"")</f>
        <v/>
      </c>
      <c r="E237" s="15"/>
      <c r="F237" s="7">
        <f>IFERROR(VLOOKUP(C237,Products!$A$2:$G$204,6,FALSE),0)</f>
        <v>0</v>
      </c>
      <c r="G237" s="7"/>
      <c r="H237" s="7"/>
      <c r="I237" s="7">
        <f>IF(OR(E237="",F237=""),0,MAX(0,(E237*F237-G237+H237)*IFERROR(VLOOKUP(C237,Products!$A$2:$G$204,7,FALSE),0)))</f>
        <v>0</v>
      </c>
      <c r="J237" s="7"/>
      <c r="K237" s="7">
        <f>IF(OR(E237="",F237=""),0,E237*F237)</f>
        <v>0</v>
      </c>
      <c r="L237" s="7">
        <f>IF(E237="",0,K237-G237+H237-I237-J237)</f>
        <v>0</v>
      </c>
      <c r="M237" s="7">
        <f>IFERROR(E237*VLOOKUP(C237,Products!$A$2:$G$204,4,FALSE),0)</f>
        <v>0</v>
      </c>
      <c r="N237" s="7">
        <f>IFERROR(E237*VLOOKUP(C237,Products!$A$2:$G$204,5,FALSE),0)</f>
        <v>0</v>
      </c>
      <c r="O237" s="7">
        <f>IF(E237="",0,L237-M237-N237)</f>
        <v>0</v>
      </c>
      <c r="P237" s="6"/>
      <c r="Q237" s="6"/>
    </row>
    <row r="238" spans="1:17" x14ac:dyDescent="0.2">
      <c r="A238" s="12"/>
      <c r="B238" s="9"/>
      <c r="C238" s="9"/>
      <c r="D238" s="9" t="str">
        <f>IFERROR(VLOOKUP(C238,Products!$A$2:$G$204,2,FALSE),"")</f>
        <v/>
      </c>
      <c r="E238" s="13"/>
      <c r="F238" s="10">
        <f>IFERROR(VLOOKUP(C238,Products!$A$2:$G$204,6,FALSE),0)</f>
        <v>0</v>
      </c>
      <c r="G238" s="10"/>
      <c r="H238" s="10"/>
      <c r="I238" s="10">
        <f>IF(OR(E238="",F238=""),0,MAX(0,(E238*F238-G238+H238)*IFERROR(VLOOKUP(C238,Products!$A$2:$G$204,7,FALSE),0)))</f>
        <v>0</v>
      </c>
      <c r="J238" s="10"/>
      <c r="K238" s="10">
        <f>IF(OR(E238="",F238=""),0,E238*F238)</f>
        <v>0</v>
      </c>
      <c r="L238" s="10">
        <f>IF(E238="",0,K238-G238+H238-I238-J238)</f>
        <v>0</v>
      </c>
      <c r="M238" s="10">
        <f>IFERROR(E238*VLOOKUP(C238,Products!$A$2:$G$204,4,FALSE),0)</f>
        <v>0</v>
      </c>
      <c r="N238" s="10">
        <f>IFERROR(E238*VLOOKUP(C238,Products!$A$2:$G$204,5,FALSE),0)</f>
        <v>0</v>
      </c>
      <c r="O238" s="10">
        <f>IF(E238="",0,L238-M238-N238)</f>
        <v>0</v>
      </c>
      <c r="P238" s="9"/>
      <c r="Q238" s="9"/>
    </row>
    <row r="239" spans="1:17" x14ac:dyDescent="0.2">
      <c r="A239" s="14"/>
      <c r="B239" s="6"/>
      <c r="C239" s="6"/>
      <c r="D239" s="6" t="str">
        <f>IFERROR(VLOOKUP(C239,Products!$A$2:$G$204,2,FALSE),"")</f>
        <v/>
      </c>
      <c r="E239" s="15"/>
      <c r="F239" s="7">
        <f>IFERROR(VLOOKUP(C239,Products!$A$2:$G$204,6,FALSE),0)</f>
        <v>0</v>
      </c>
      <c r="G239" s="7"/>
      <c r="H239" s="7"/>
      <c r="I239" s="7">
        <f>IF(OR(E239="",F239=""),0,MAX(0,(E239*F239-G239+H239)*IFERROR(VLOOKUP(C239,Products!$A$2:$G$204,7,FALSE),0)))</f>
        <v>0</v>
      </c>
      <c r="J239" s="7"/>
      <c r="K239" s="7">
        <f>IF(OR(E239="",F239=""),0,E239*F239)</f>
        <v>0</v>
      </c>
      <c r="L239" s="7">
        <f>IF(E239="",0,K239-G239+H239-I239-J239)</f>
        <v>0</v>
      </c>
      <c r="M239" s="7">
        <f>IFERROR(E239*VLOOKUP(C239,Products!$A$2:$G$204,4,FALSE),0)</f>
        <v>0</v>
      </c>
      <c r="N239" s="7">
        <f>IFERROR(E239*VLOOKUP(C239,Products!$A$2:$G$204,5,FALSE),0)</f>
        <v>0</v>
      </c>
      <c r="O239" s="7">
        <f>IF(E239="",0,L239-M239-N239)</f>
        <v>0</v>
      </c>
      <c r="P239" s="6"/>
      <c r="Q239" s="6"/>
    </row>
    <row r="240" spans="1:17" x14ac:dyDescent="0.2">
      <c r="A240" s="12"/>
      <c r="B240" s="9"/>
      <c r="C240" s="9"/>
      <c r="D240" s="9" t="str">
        <f>IFERROR(VLOOKUP(C240,Products!$A$2:$G$204,2,FALSE),"")</f>
        <v/>
      </c>
      <c r="E240" s="13"/>
      <c r="F240" s="10">
        <f>IFERROR(VLOOKUP(C240,Products!$A$2:$G$204,6,FALSE),0)</f>
        <v>0</v>
      </c>
      <c r="G240" s="10"/>
      <c r="H240" s="10"/>
      <c r="I240" s="10">
        <f>IF(OR(E240="",F240=""),0,MAX(0,(E240*F240-G240+H240)*IFERROR(VLOOKUP(C240,Products!$A$2:$G$204,7,FALSE),0)))</f>
        <v>0</v>
      </c>
      <c r="J240" s="10"/>
      <c r="K240" s="10">
        <f>IF(OR(E240="",F240=""),0,E240*F240)</f>
        <v>0</v>
      </c>
      <c r="L240" s="10">
        <f>IF(E240="",0,K240-G240+H240-I240-J240)</f>
        <v>0</v>
      </c>
      <c r="M240" s="10">
        <f>IFERROR(E240*VLOOKUP(C240,Products!$A$2:$G$204,4,FALSE),0)</f>
        <v>0</v>
      </c>
      <c r="N240" s="10">
        <f>IFERROR(E240*VLOOKUP(C240,Products!$A$2:$G$204,5,FALSE),0)</f>
        <v>0</v>
      </c>
      <c r="O240" s="10">
        <f>IF(E240="",0,L240-M240-N240)</f>
        <v>0</v>
      </c>
      <c r="P240" s="9"/>
      <c r="Q240" s="9"/>
    </row>
    <row r="241" spans="1:17" x14ac:dyDescent="0.2">
      <c r="A241" s="14"/>
      <c r="B241" s="6"/>
      <c r="C241" s="6"/>
      <c r="D241" s="6" t="str">
        <f>IFERROR(VLOOKUP(C241,Products!$A$2:$G$204,2,FALSE),"")</f>
        <v/>
      </c>
      <c r="E241" s="15"/>
      <c r="F241" s="7">
        <f>IFERROR(VLOOKUP(C241,Products!$A$2:$G$204,6,FALSE),0)</f>
        <v>0</v>
      </c>
      <c r="G241" s="7"/>
      <c r="H241" s="7"/>
      <c r="I241" s="7">
        <f>IF(OR(E241="",F241=""),0,MAX(0,(E241*F241-G241+H241)*IFERROR(VLOOKUP(C241,Products!$A$2:$G$204,7,FALSE),0)))</f>
        <v>0</v>
      </c>
      <c r="J241" s="7"/>
      <c r="K241" s="7">
        <f>IF(OR(E241="",F241=""),0,E241*F241)</f>
        <v>0</v>
      </c>
      <c r="L241" s="7">
        <f>IF(E241="",0,K241-G241+H241-I241-J241)</f>
        <v>0</v>
      </c>
      <c r="M241" s="7">
        <f>IFERROR(E241*VLOOKUP(C241,Products!$A$2:$G$204,4,FALSE),0)</f>
        <v>0</v>
      </c>
      <c r="N241" s="7">
        <f>IFERROR(E241*VLOOKUP(C241,Products!$A$2:$G$204,5,FALSE),0)</f>
        <v>0</v>
      </c>
      <c r="O241" s="7">
        <f>IF(E241="",0,L241-M241-N241)</f>
        <v>0</v>
      </c>
      <c r="P241" s="6"/>
      <c r="Q241" s="6"/>
    </row>
    <row r="242" spans="1:17" x14ac:dyDescent="0.2">
      <c r="A242" s="12"/>
      <c r="B242" s="9"/>
      <c r="C242" s="9"/>
      <c r="D242" s="9" t="str">
        <f>IFERROR(VLOOKUP(C242,Products!$A$2:$G$204,2,FALSE),"")</f>
        <v/>
      </c>
      <c r="E242" s="13"/>
      <c r="F242" s="10">
        <f>IFERROR(VLOOKUP(C242,Products!$A$2:$G$204,6,FALSE),0)</f>
        <v>0</v>
      </c>
      <c r="G242" s="10"/>
      <c r="H242" s="10"/>
      <c r="I242" s="10">
        <f>IF(OR(E242="",F242=""),0,MAX(0,(E242*F242-G242+H242)*IFERROR(VLOOKUP(C242,Products!$A$2:$G$204,7,FALSE),0)))</f>
        <v>0</v>
      </c>
      <c r="J242" s="10"/>
      <c r="K242" s="10">
        <f>IF(OR(E242="",F242=""),0,E242*F242)</f>
        <v>0</v>
      </c>
      <c r="L242" s="10">
        <f>IF(E242="",0,K242-G242+H242-I242-J242)</f>
        <v>0</v>
      </c>
      <c r="M242" s="10">
        <f>IFERROR(E242*VLOOKUP(C242,Products!$A$2:$G$204,4,FALSE),0)</f>
        <v>0</v>
      </c>
      <c r="N242" s="10">
        <f>IFERROR(E242*VLOOKUP(C242,Products!$A$2:$G$204,5,FALSE),0)</f>
        <v>0</v>
      </c>
      <c r="O242" s="10">
        <f>IF(E242="",0,L242-M242-N242)</f>
        <v>0</v>
      </c>
      <c r="P242" s="9"/>
      <c r="Q242" s="9"/>
    </row>
    <row r="243" spans="1:17" x14ac:dyDescent="0.2">
      <c r="A243" s="14"/>
      <c r="B243" s="6"/>
      <c r="C243" s="6"/>
      <c r="D243" s="6" t="str">
        <f>IFERROR(VLOOKUP(C243,Products!$A$2:$G$204,2,FALSE),"")</f>
        <v/>
      </c>
      <c r="E243" s="15"/>
      <c r="F243" s="7">
        <f>IFERROR(VLOOKUP(C243,Products!$A$2:$G$204,6,FALSE),0)</f>
        <v>0</v>
      </c>
      <c r="G243" s="7"/>
      <c r="H243" s="7"/>
      <c r="I243" s="7">
        <f>IF(OR(E243="",F243=""),0,MAX(0,(E243*F243-G243+H243)*IFERROR(VLOOKUP(C243,Products!$A$2:$G$204,7,FALSE),0)))</f>
        <v>0</v>
      </c>
      <c r="J243" s="7"/>
      <c r="K243" s="7">
        <f>IF(OR(E243="",F243=""),0,E243*F243)</f>
        <v>0</v>
      </c>
      <c r="L243" s="7">
        <f>IF(E243="",0,K243-G243+H243-I243-J243)</f>
        <v>0</v>
      </c>
      <c r="M243" s="7">
        <f>IFERROR(E243*VLOOKUP(C243,Products!$A$2:$G$204,4,FALSE),0)</f>
        <v>0</v>
      </c>
      <c r="N243" s="7">
        <f>IFERROR(E243*VLOOKUP(C243,Products!$A$2:$G$204,5,FALSE),0)</f>
        <v>0</v>
      </c>
      <c r="O243" s="7">
        <f>IF(E243="",0,L243-M243-N243)</f>
        <v>0</v>
      </c>
      <c r="P243" s="6"/>
      <c r="Q243" s="6"/>
    </row>
    <row r="244" spans="1:17" x14ac:dyDescent="0.2">
      <c r="A244" s="12"/>
      <c r="B244" s="9"/>
      <c r="C244" s="9"/>
      <c r="D244" s="9" t="str">
        <f>IFERROR(VLOOKUP(C244,Products!$A$2:$G$204,2,FALSE),"")</f>
        <v/>
      </c>
      <c r="E244" s="13"/>
      <c r="F244" s="10">
        <f>IFERROR(VLOOKUP(C244,Products!$A$2:$G$204,6,FALSE),0)</f>
        <v>0</v>
      </c>
      <c r="G244" s="10"/>
      <c r="H244" s="10"/>
      <c r="I244" s="10">
        <f>IF(OR(E244="",F244=""),0,MAX(0,(E244*F244-G244+H244)*IFERROR(VLOOKUP(C244,Products!$A$2:$G$204,7,FALSE),0)))</f>
        <v>0</v>
      </c>
      <c r="J244" s="10"/>
      <c r="K244" s="10">
        <f>IF(OR(E244="",F244=""),0,E244*F244)</f>
        <v>0</v>
      </c>
      <c r="L244" s="10">
        <f>IF(E244="",0,K244-G244+H244-I244-J244)</f>
        <v>0</v>
      </c>
      <c r="M244" s="10">
        <f>IFERROR(E244*VLOOKUP(C244,Products!$A$2:$G$204,4,FALSE),0)</f>
        <v>0</v>
      </c>
      <c r="N244" s="10">
        <f>IFERROR(E244*VLOOKUP(C244,Products!$A$2:$G$204,5,FALSE),0)</f>
        <v>0</v>
      </c>
      <c r="O244" s="10">
        <f>IF(E244="",0,L244-M244-N244)</f>
        <v>0</v>
      </c>
      <c r="P244" s="9"/>
      <c r="Q244" s="9"/>
    </row>
    <row r="245" spans="1:17" x14ac:dyDescent="0.2">
      <c r="A245" s="14"/>
      <c r="B245" s="6"/>
      <c r="C245" s="6"/>
      <c r="D245" s="6" t="str">
        <f>IFERROR(VLOOKUP(C245,Products!$A$2:$G$204,2,FALSE),"")</f>
        <v/>
      </c>
      <c r="E245" s="15"/>
      <c r="F245" s="7">
        <f>IFERROR(VLOOKUP(C245,Products!$A$2:$G$204,6,FALSE),0)</f>
        <v>0</v>
      </c>
      <c r="G245" s="7"/>
      <c r="H245" s="7"/>
      <c r="I245" s="7">
        <f>IF(OR(E245="",F245=""),0,MAX(0,(E245*F245-G245+H245)*IFERROR(VLOOKUP(C245,Products!$A$2:$G$204,7,FALSE),0)))</f>
        <v>0</v>
      </c>
      <c r="J245" s="7"/>
      <c r="K245" s="7">
        <f>IF(OR(E245="",F245=""),0,E245*F245)</f>
        <v>0</v>
      </c>
      <c r="L245" s="7">
        <f>IF(E245="",0,K245-G245+H245-I245-J245)</f>
        <v>0</v>
      </c>
      <c r="M245" s="7">
        <f>IFERROR(E245*VLOOKUP(C245,Products!$A$2:$G$204,4,FALSE),0)</f>
        <v>0</v>
      </c>
      <c r="N245" s="7">
        <f>IFERROR(E245*VLOOKUP(C245,Products!$A$2:$G$204,5,FALSE),0)</f>
        <v>0</v>
      </c>
      <c r="O245" s="7">
        <f>IF(E245="",0,L245-M245-N245)</f>
        <v>0</v>
      </c>
      <c r="P245" s="6"/>
      <c r="Q245" s="6"/>
    </row>
    <row r="246" spans="1:17" x14ac:dyDescent="0.2">
      <c r="A246" s="12"/>
      <c r="B246" s="9"/>
      <c r="C246" s="9"/>
      <c r="D246" s="9" t="str">
        <f>IFERROR(VLOOKUP(C246,Products!$A$2:$G$204,2,FALSE),"")</f>
        <v/>
      </c>
      <c r="E246" s="13"/>
      <c r="F246" s="10">
        <f>IFERROR(VLOOKUP(C246,Products!$A$2:$G$204,6,FALSE),0)</f>
        <v>0</v>
      </c>
      <c r="G246" s="10"/>
      <c r="H246" s="10"/>
      <c r="I246" s="10">
        <f>IF(OR(E246="",F246=""),0,MAX(0,(E246*F246-G246+H246)*IFERROR(VLOOKUP(C246,Products!$A$2:$G$204,7,FALSE),0)))</f>
        <v>0</v>
      </c>
      <c r="J246" s="10"/>
      <c r="K246" s="10">
        <f>IF(OR(E246="",F246=""),0,E246*F246)</f>
        <v>0</v>
      </c>
      <c r="L246" s="10">
        <f>IF(E246="",0,K246-G246+H246-I246-J246)</f>
        <v>0</v>
      </c>
      <c r="M246" s="10">
        <f>IFERROR(E246*VLOOKUP(C246,Products!$A$2:$G$204,4,FALSE),0)</f>
        <v>0</v>
      </c>
      <c r="N246" s="10">
        <f>IFERROR(E246*VLOOKUP(C246,Products!$A$2:$G$204,5,FALSE),0)</f>
        <v>0</v>
      </c>
      <c r="O246" s="10">
        <f>IF(E246="",0,L246-M246-N246)</f>
        <v>0</v>
      </c>
      <c r="P246" s="9"/>
      <c r="Q246" s="9"/>
    </row>
    <row r="247" spans="1:17" x14ac:dyDescent="0.2">
      <c r="A247" s="14"/>
      <c r="B247" s="6"/>
      <c r="C247" s="6"/>
      <c r="D247" s="6" t="str">
        <f>IFERROR(VLOOKUP(C247,Products!$A$2:$G$204,2,FALSE),"")</f>
        <v/>
      </c>
      <c r="E247" s="15"/>
      <c r="F247" s="7">
        <f>IFERROR(VLOOKUP(C247,Products!$A$2:$G$204,6,FALSE),0)</f>
        <v>0</v>
      </c>
      <c r="G247" s="7"/>
      <c r="H247" s="7"/>
      <c r="I247" s="7">
        <f>IF(OR(E247="",F247=""),0,MAX(0,(E247*F247-G247+H247)*IFERROR(VLOOKUP(C247,Products!$A$2:$G$204,7,FALSE),0)))</f>
        <v>0</v>
      </c>
      <c r="J247" s="7"/>
      <c r="K247" s="7">
        <f>IF(OR(E247="",F247=""),0,E247*F247)</f>
        <v>0</v>
      </c>
      <c r="L247" s="7">
        <f>IF(E247="",0,K247-G247+H247-I247-J247)</f>
        <v>0</v>
      </c>
      <c r="M247" s="7">
        <f>IFERROR(E247*VLOOKUP(C247,Products!$A$2:$G$204,4,FALSE),0)</f>
        <v>0</v>
      </c>
      <c r="N247" s="7">
        <f>IFERROR(E247*VLOOKUP(C247,Products!$A$2:$G$204,5,FALSE),0)</f>
        <v>0</v>
      </c>
      <c r="O247" s="7">
        <f>IF(E247="",0,L247-M247-N247)</f>
        <v>0</v>
      </c>
      <c r="P247" s="6"/>
      <c r="Q247" s="6"/>
    </row>
    <row r="248" spans="1:17" x14ac:dyDescent="0.2">
      <c r="A248" s="12"/>
      <c r="B248" s="9"/>
      <c r="C248" s="9"/>
      <c r="D248" s="9" t="str">
        <f>IFERROR(VLOOKUP(C248,Products!$A$2:$G$204,2,FALSE),"")</f>
        <v/>
      </c>
      <c r="E248" s="13"/>
      <c r="F248" s="10">
        <f>IFERROR(VLOOKUP(C248,Products!$A$2:$G$204,6,FALSE),0)</f>
        <v>0</v>
      </c>
      <c r="G248" s="10"/>
      <c r="H248" s="10"/>
      <c r="I248" s="10">
        <f>IF(OR(E248="",F248=""),0,MAX(0,(E248*F248-G248+H248)*IFERROR(VLOOKUP(C248,Products!$A$2:$G$204,7,FALSE),0)))</f>
        <v>0</v>
      </c>
      <c r="J248" s="10"/>
      <c r="K248" s="10">
        <f>IF(OR(E248="",F248=""),0,E248*F248)</f>
        <v>0</v>
      </c>
      <c r="L248" s="10">
        <f>IF(E248="",0,K248-G248+H248-I248-J248)</f>
        <v>0</v>
      </c>
      <c r="M248" s="10">
        <f>IFERROR(E248*VLOOKUP(C248,Products!$A$2:$G$204,4,FALSE),0)</f>
        <v>0</v>
      </c>
      <c r="N248" s="10">
        <f>IFERROR(E248*VLOOKUP(C248,Products!$A$2:$G$204,5,FALSE),0)</f>
        <v>0</v>
      </c>
      <c r="O248" s="10">
        <f>IF(E248="",0,L248-M248-N248)</f>
        <v>0</v>
      </c>
      <c r="P248" s="9"/>
      <c r="Q248" s="9"/>
    </row>
    <row r="249" spans="1:17" x14ac:dyDescent="0.2">
      <c r="A249" s="14"/>
      <c r="B249" s="6"/>
      <c r="C249" s="6"/>
      <c r="D249" s="6" t="str">
        <f>IFERROR(VLOOKUP(C249,Products!$A$2:$G$204,2,FALSE),"")</f>
        <v/>
      </c>
      <c r="E249" s="15"/>
      <c r="F249" s="7">
        <f>IFERROR(VLOOKUP(C249,Products!$A$2:$G$204,6,FALSE),0)</f>
        <v>0</v>
      </c>
      <c r="G249" s="7"/>
      <c r="H249" s="7"/>
      <c r="I249" s="7">
        <f>IF(OR(E249="",F249=""),0,MAX(0,(E249*F249-G249+H249)*IFERROR(VLOOKUP(C249,Products!$A$2:$G$204,7,FALSE),0)))</f>
        <v>0</v>
      </c>
      <c r="J249" s="7"/>
      <c r="K249" s="7">
        <f>IF(OR(E249="",F249=""),0,E249*F249)</f>
        <v>0</v>
      </c>
      <c r="L249" s="7">
        <f>IF(E249="",0,K249-G249+H249-I249-J249)</f>
        <v>0</v>
      </c>
      <c r="M249" s="7">
        <f>IFERROR(E249*VLOOKUP(C249,Products!$A$2:$G$204,4,FALSE),0)</f>
        <v>0</v>
      </c>
      <c r="N249" s="7">
        <f>IFERROR(E249*VLOOKUP(C249,Products!$A$2:$G$204,5,FALSE),0)</f>
        <v>0</v>
      </c>
      <c r="O249" s="7">
        <f>IF(E249="",0,L249-M249-N249)</f>
        <v>0</v>
      </c>
      <c r="P249" s="6"/>
      <c r="Q249" s="6"/>
    </row>
    <row r="250" spans="1:17" x14ac:dyDescent="0.2">
      <c r="A250" s="12"/>
      <c r="B250" s="9"/>
      <c r="C250" s="9"/>
      <c r="D250" s="9" t="str">
        <f>IFERROR(VLOOKUP(C250,Products!$A$2:$G$204,2,FALSE),"")</f>
        <v/>
      </c>
      <c r="E250" s="13"/>
      <c r="F250" s="10">
        <f>IFERROR(VLOOKUP(C250,Products!$A$2:$G$204,6,FALSE),0)</f>
        <v>0</v>
      </c>
      <c r="G250" s="10"/>
      <c r="H250" s="10"/>
      <c r="I250" s="10">
        <f>IF(OR(E250="",F250=""),0,MAX(0,(E250*F250-G250+H250)*IFERROR(VLOOKUP(C250,Products!$A$2:$G$204,7,FALSE),0)))</f>
        <v>0</v>
      </c>
      <c r="J250" s="10"/>
      <c r="K250" s="10">
        <f>IF(OR(E250="",F250=""),0,E250*F250)</f>
        <v>0</v>
      </c>
      <c r="L250" s="10">
        <f>IF(E250="",0,K250-G250+H250-I250-J250)</f>
        <v>0</v>
      </c>
      <c r="M250" s="10">
        <f>IFERROR(E250*VLOOKUP(C250,Products!$A$2:$G$204,4,FALSE),0)</f>
        <v>0</v>
      </c>
      <c r="N250" s="10">
        <f>IFERROR(E250*VLOOKUP(C250,Products!$A$2:$G$204,5,FALSE),0)</f>
        <v>0</v>
      </c>
      <c r="O250" s="10">
        <f>IF(E250="",0,L250-M250-N250)</f>
        <v>0</v>
      </c>
      <c r="P250" s="9"/>
      <c r="Q250" s="9"/>
    </row>
    <row r="251" spans="1:17" x14ac:dyDescent="0.2">
      <c r="A251" s="14"/>
      <c r="B251" s="6"/>
      <c r="C251" s="6"/>
      <c r="D251" s="6" t="str">
        <f>IFERROR(VLOOKUP(C251,Products!$A$2:$G$204,2,FALSE),"")</f>
        <v/>
      </c>
      <c r="E251" s="15"/>
      <c r="F251" s="7">
        <f>IFERROR(VLOOKUP(C251,Products!$A$2:$G$204,6,FALSE),0)</f>
        <v>0</v>
      </c>
      <c r="G251" s="7"/>
      <c r="H251" s="7"/>
      <c r="I251" s="7">
        <f>IF(OR(E251="",F251=""),0,MAX(0,(E251*F251-G251+H251)*IFERROR(VLOOKUP(C251,Products!$A$2:$G$204,7,FALSE),0)))</f>
        <v>0</v>
      </c>
      <c r="J251" s="7"/>
      <c r="K251" s="7">
        <f>IF(OR(E251="",F251=""),0,E251*F251)</f>
        <v>0</v>
      </c>
      <c r="L251" s="7">
        <f>IF(E251="",0,K251-G251+H251-I251-J251)</f>
        <v>0</v>
      </c>
      <c r="M251" s="7">
        <f>IFERROR(E251*VLOOKUP(C251,Products!$A$2:$G$204,4,FALSE),0)</f>
        <v>0</v>
      </c>
      <c r="N251" s="7">
        <f>IFERROR(E251*VLOOKUP(C251,Products!$A$2:$G$204,5,FALSE),0)</f>
        <v>0</v>
      </c>
      <c r="O251" s="7">
        <f>IF(E251="",0,L251-M251-N251)</f>
        <v>0</v>
      </c>
      <c r="P251" s="6"/>
      <c r="Q251" s="6"/>
    </row>
    <row r="252" spans="1:17" x14ac:dyDescent="0.2">
      <c r="A252" s="12"/>
      <c r="B252" s="9"/>
      <c r="C252" s="9"/>
      <c r="D252" s="9" t="str">
        <f>IFERROR(VLOOKUP(C252,Products!$A$2:$G$204,2,FALSE),"")</f>
        <v/>
      </c>
      <c r="E252" s="13"/>
      <c r="F252" s="10">
        <f>IFERROR(VLOOKUP(C252,Products!$A$2:$G$204,6,FALSE),0)</f>
        <v>0</v>
      </c>
      <c r="G252" s="10"/>
      <c r="H252" s="10"/>
      <c r="I252" s="10">
        <f>IF(OR(E252="",F252=""),0,MAX(0,(E252*F252-G252+H252)*IFERROR(VLOOKUP(C252,Products!$A$2:$G$204,7,FALSE),0)))</f>
        <v>0</v>
      </c>
      <c r="J252" s="10"/>
      <c r="K252" s="10">
        <f>IF(OR(E252="",F252=""),0,E252*F252)</f>
        <v>0</v>
      </c>
      <c r="L252" s="10">
        <f>IF(E252="",0,K252-G252+H252-I252-J252)</f>
        <v>0</v>
      </c>
      <c r="M252" s="10">
        <f>IFERROR(E252*VLOOKUP(C252,Products!$A$2:$G$204,4,FALSE),0)</f>
        <v>0</v>
      </c>
      <c r="N252" s="10">
        <f>IFERROR(E252*VLOOKUP(C252,Products!$A$2:$G$204,5,FALSE),0)</f>
        <v>0</v>
      </c>
      <c r="O252" s="10">
        <f>IF(E252="",0,L252-M252-N252)</f>
        <v>0</v>
      </c>
      <c r="P252" s="9"/>
      <c r="Q252" s="9"/>
    </row>
    <row r="253" spans="1:17" x14ac:dyDescent="0.2">
      <c r="A253" s="14"/>
      <c r="B253" s="6"/>
      <c r="C253" s="6"/>
      <c r="D253" s="6" t="str">
        <f>IFERROR(VLOOKUP(C253,Products!$A$2:$G$204,2,FALSE),"")</f>
        <v/>
      </c>
      <c r="E253" s="15"/>
      <c r="F253" s="7">
        <f>IFERROR(VLOOKUP(C253,Products!$A$2:$G$204,6,FALSE),0)</f>
        <v>0</v>
      </c>
      <c r="G253" s="7"/>
      <c r="H253" s="7"/>
      <c r="I253" s="7">
        <f>IF(OR(E253="",F253=""),0,MAX(0,(E253*F253-G253+H253)*IFERROR(VLOOKUP(C253,Products!$A$2:$G$204,7,FALSE),0)))</f>
        <v>0</v>
      </c>
      <c r="J253" s="7"/>
      <c r="K253" s="7">
        <f>IF(OR(E253="",F253=""),0,E253*F253)</f>
        <v>0</v>
      </c>
      <c r="L253" s="7">
        <f>IF(E253="",0,K253-G253+H253-I253-J253)</f>
        <v>0</v>
      </c>
      <c r="M253" s="7">
        <f>IFERROR(E253*VLOOKUP(C253,Products!$A$2:$G$204,4,FALSE),0)</f>
        <v>0</v>
      </c>
      <c r="N253" s="7">
        <f>IFERROR(E253*VLOOKUP(C253,Products!$A$2:$G$204,5,FALSE),0)</f>
        <v>0</v>
      </c>
      <c r="O253" s="7">
        <f>IF(E253="",0,L253-M253-N253)</f>
        <v>0</v>
      </c>
      <c r="P253" s="6"/>
      <c r="Q253" s="6"/>
    </row>
    <row r="254" spans="1:17" x14ac:dyDescent="0.2">
      <c r="A254" s="12"/>
      <c r="B254" s="9"/>
      <c r="C254" s="9"/>
      <c r="D254" s="9" t="str">
        <f>IFERROR(VLOOKUP(C254,Products!$A$2:$G$204,2,FALSE),"")</f>
        <v/>
      </c>
      <c r="E254" s="13"/>
      <c r="F254" s="10">
        <f>IFERROR(VLOOKUP(C254,Products!$A$2:$G$204,6,FALSE),0)</f>
        <v>0</v>
      </c>
      <c r="G254" s="10"/>
      <c r="H254" s="10"/>
      <c r="I254" s="10">
        <f>IF(OR(E254="",F254=""),0,MAX(0,(E254*F254-G254+H254)*IFERROR(VLOOKUP(C254,Products!$A$2:$G$204,7,FALSE),0)))</f>
        <v>0</v>
      </c>
      <c r="J254" s="10"/>
      <c r="K254" s="10">
        <f>IF(OR(E254="",F254=""),0,E254*F254)</f>
        <v>0</v>
      </c>
      <c r="L254" s="10">
        <f>IF(E254="",0,K254-G254+H254-I254-J254)</f>
        <v>0</v>
      </c>
      <c r="M254" s="10">
        <f>IFERROR(E254*VLOOKUP(C254,Products!$A$2:$G$204,4,FALSE),0)</f>
        <v>0</v>
      </c>
      <c r="N254" s="10">
        <f>IFERROR(E254*VLOOKUP(C254,Products!$A$2:$G$204,5,FALSE),0)</f>
        <v>0</v>
      </c>
      <c r="O254" s="10">
        <f>IF(E254="",0,L254-M254-N254)</f>
        <v>0</v>
      </c>
      <c r="P254" s="9"/>
      <c r="Q254" s="9"/>
    </row>
    <row r="255" spans="1:17" x14ac:dyDescent="0.2">
      <c r="A255" s="14"/>
      <c r="B255" s="6"/>
      <c r="C255" s="6"/>
      <c r="D255" s="6" t="str">
        <f>IFERROR(VLOOKUP(C255,Products!$A$2:$G$204,2,FALSE),"")</f>
        <v/>
      </c>
      <c r="E255" s="15"/>
      <c r="F255" s="7">
        <f>IFERROR(VLOOKUP(C255,Products!$A$2:$G$204,6,FALSE),0)</f>
        <v>0</v>
      </c>
      <c r="G255" s="7"/>
      <c r="H255" s="7"/>
      <c r="I255" s="7">
        <f>IF(OR(E255="",F255=""),0,MAX(0,(E255*F255-G255+H255)*IFERROR(VLOOKUP(C255,Products!$A$2:$G$204,7,FALSE),0)))</f>
        <v>0</v>
      </c>
      <c r="J255" s="7"/>
      <c r="K255" s="7">
        <f>IF(OR(E255="",F255=""),0,E255*F255)</f>
        <v>0</v>
      </c>
      <c r="L255" s="7">
        <f>IF(E255="",0,K255-G255+H255-I255-J255)</f>
        <v>0</v>
      </c>
      <c r="M255" s="7">
        <f>IFERROR(E255*VLOOKUP(C255,Products!$A$2:$G$204,4,FALSE),0)</f>
        <v>0</v>
      </c>
      <c r="N255" s="7">
        <f>IFERROR(E255*VLOOKUP(C255,Products!$A$2:$G$204,5,FALSE),0)</f>
        <v>0</v>
      </c>
      <c r="O255" s="7">
        <f>IF(E255="",0,L255-M255-N255)</f>
        <v>0</v>
      </c>
      <c r="P255" s="6"/>
      <c r="Q255" s="6"/>
    </row>
    <row r="256" spans="1:17" x14ac:dyDescent="0.2">
      <c r="A256" s="12"/>
      <c r="B256" s="9"/>
      <c r="C256" s="9"/>
      <c r="D256" s="9" t="str">
        <f>IFERROR(VLOOKUP(C256,Products!$A$2:$G$204,2,FALSE),"")</f>
        <v/>
      </c>
      <c r="E256" s="13"/>
      <c r="F256" s="10">
        <f>IFERROR(VLOOKUP(C256,Products!$A$2:$G$204,6,FALSE),0)</f>
        <v>0</v>
      </c>
      <c r="G256" s="10"/>
      <c r="H256" s="10"/>
      <c r="I256" s="10">
        <f>IF(OR(E256="",F256=""),0,MAX(0,(E256*F256-G256+H256)*IFERROR(VLOOKUP(C256,Products!$A$2:$G$204,7,FALSE),0)))</f>
        <v>0</v>
      </c>
      <c r="J256" s="10"/>
      <c r="K256" s="10">
        <f>IF(OR(E256="",F256=""),0,E256*F256)</f>
        <v>0</v>
      </c>
      <c r="L256" s="10">
        <f>IF(E256="",0,K256-G256+H256-I256-J256)</f>
        <v>0</v>
      </c>
      <c r="M256" s="10">
        <f>IFERROR(E256*VLOOKUP(C256,Products!$A$2:$G$204,4,FALSE),0)</f>
        <v>0</v>
      </c>
      <c r="N256" s="10">
        <f>IFERROR(E256*VLOOKUP(C256,Products!$A$2:$G$204,5,FALSE),0)</f>
        <v>0</v>
      </c>
      <c r="O256" s="10">
        <f>IF(E256="",0,L256-M256-N256)</f>
        <v>0</v>
      </c>
      <c r="P256" s="9"/>
      <c r="Q256" s="9"/>
    </row>
    <row r="257" spans="1:17" x14ac:dyDescent="0.2">
      <c r="A257" s="14"/>
      <c r="B257" s="6"/>
      <c r="C257" s="6"/>
      <c r="D257" s="6" t="str">
        <f>IFERROR(VLOOKUP(C257,Products!$A$2:$G$204,2,FALSE),"")</f>
        <v/>
      </c>
      <c r="E257" s="15"/>
      <c r="F257" s="7">
        <f>IFERROR(VLOOKUP(C257,Products!$A$2:$G$204,6,FALSE),0)</f>
        <v>0</v>
      </c>
      <c r="G257" s="7"/>
      <c r="H257" s="7"/>
      <c r="I257" s="7">
        <f>IF(OR(E257="",F257=""),0,MAX(0,(E257*F257-G257+H257)*IFERROR(VLOOKUP(C257,Products!$A$2:$G$204,7,FALSE),0)))</f>
        <v>0</v>
      </c>
      <c r="J257" s="7"/>
      <c r="K257" s="7">
        <f>IF(OR(E257="",F257=""),0,E257*F257)</f>
        <v>0</v>
      </c>
      <c r="L257" s="7">
        <f>IF(E257="",0,K257-G257+H257-I257-J257)</f>
        <v>0</v>
      </c>
      <c r="M257" s="7">
        <f>IFERROR(E257*VLOOKUP(C257,Products!$A$2:$G$204,4,FALSE),0)</f>
        <v>0</v>
      </c>
      <c r="N257" s="7">
        <f>IFERROR(E257*VLOOKUP(C257,Products!$A$2:$G$204,5,FALSE),0)</f>
        <v>0</v>
      </c>
      <c r="O257" s="7">
        <f>IF(E257="",0,L257-M257-N257)</f>
        <v>0</v>
      </c>
      <c r="P257" s="6"/>
      <c r="Q257" s="6"/>
    </row>
    <row r="258" spans="1:17" x14ac:dyDescent="0.2">
      <c r="A258" s="12"/>
      <c r="B258" s="9"/>
      <c r="C258" s="9"/>
      <c r="D258" s="9" t="str">
        <f>IFERROR(VLOOKUP(C258,Products!$A$2:$G$204,2,FALSE),"")</f>
        <v/>
      </c>
      <c r="E258" s="13"/>
      <c r="F258" s="10">
        <f>IFERROR(VLOOKUP(C258,Products!$A$2:$G$204,6,FALSE),0)</f>
        <v>0</v>
      </c>
      <c r="G258" s="10"/>
      <c r="H258" s="10"/>
      <c r="I258" s="10">
        <f>IF(OR(E258="",F258=""),0,MAX(0,(E258*F258-G258+H258)*IFERROR(VLOOKUP(C258,Products!$A$2:$G$204,7,FALSE),0)))</f>
        <v>0</v>
      </c>
      <c r="J258" s="10"/>
      <c r="K258" s="10">
        <f>IF(OR(E258="",F258=""),0,E258*F258)</f>
        <v>0</v>
      </c>
      <c r="L258" s="10">
        <f>IF(E258="",0,K258-G258+H258-I258-J258)</f>
        <v>0</v>
      </c>
      <c r="M258" s="10">
        <f>IFERROR(E258*VLOOKUP(C258,Products!$A$2:$G$204,4,FALSE),0)</f>
        <v>0</v>
      </c>
      <c r="N258" s="10">
        <f>IFERROR(E258*VLOOKUP(C258,Products!$A$2:$G$204,5,FALSE),0)</f>
        <v>0</v>
      </c>
      <c r="O258" s="10">
        <f>IF(E258="",0,L258-M258-N258)</f>
        <v>0</v>
      </c>
      <c r="P258" s="9"/>
      <c r="Q258" s="9"/>
    </row>
    <row r="259" spans="1:17" x14ac:dyDescent="0.2">
      <c r="A259" s="14"/>
      <c r="B259" s="6"/>
      <c r="C259" s="6"/>
      <c r="D259" s="6" t="str">
        <f>IFERROR(VLOOKUP(C259,Products!$A$2:$G$204,2,FALSE),"")</f>
        <v/>
      </c>
      <c r="E259" s="15"/>
      <c r="F259" s="7">
        <f>IFERROR(VLOOKUP(C259,Products!$A$2:$G$204,6,FALSE),0)</f>
        <v>0</v>
      </c>
      <c r="G259" s="7"/>
      <c r="H259" s="7"/>
      <c r="I259" s="7">
        <f>IF(OR(E259="",F259=""),0,MAX(0,(E259*F259-G259+H259)*IFERROR(VLOOKUP(C259,Products!$A$2:$G$204,7,FALSE),0)))</f>
        <v>0</v>
      </c>
      <c r="J259" s="7"/>
      <c r="K259" s="7">
        <f>IF(OR(E259="",F259=""),0,E259*F259)</f>
        <v>0</v>
      </c>
      <c r="L259" s="7">
        <f>IF(E259="",0,K259-G259+H259-I259-J259)</f>
        <v>0</v>
      </c>
      <c r="M259" s="7">
        <f>IFERROR(E259*VLOOKUP(C259,Products!$A$2:$G$204,4,FALSE),0)</f>
        <v>0</v>
      </c>
      <c r="N259" s="7">
        <f>IFERROR(E259*VLOOKUP(C259,Products!$A$2:$G$204,5,FALSE),0)</f>
        <v>0</v>
      </c>
      <c r="O259" s="7">
        <f>IF(E259="",0,L259-M259-N259)</f>
        <v>0</v>
      </c>
      <c r="P259" s="6"/>
      <c r="Q259" s="6"/>
    </row>
    <row r="260" spans="1:17" x14ac:dyDescent="0.2">
      <c r="A260" s="12"/>
      <c r="B260" s="9"/>
      <c r="C260" s="9"/>
      <c r="D260" s="9" t="str">
        <f>IFERROR(VLOOKUP(C260,Products!$A$2:$G$204,2,FALSE),"")</f>
        <v/>
      </c>
      <c r="E260" s="13"/>
      <c r="F260" s="10">
        <f>IFERROR(VLOOKUP(C260,Products!$A$2:$G$204,6,FALSE),0)</f>
        <v>0</v>
      </c>
      <c r="G260" s="10"/>
      <c r="H260" s="10"/>
      <c r="I260" s="10">
        <f>IF(OR(E260="",F260=""),0,MAX(0,(E260*F260-G260+H260)*IFERROR(VLOOKUP(C260,Products!$A$2:$G$204,7,FALSE),0)))</f>
        <v>0</v>
      </c>
      <c r="J260" s="10"/>
      <c r="K260" s="10">
        <f>IF(OR(E260="",F260=""),0,E260*F260)</f>
        <v>0</v>
      </c>
      <c r="L260" s="10">
        <f>IF(E260="",0,K260-G260+H260-I260-J260)</f>
        <v>0</v>
      </c>
      <c r="M260" s="10">
        <f>IFERROR(E260*VLOOKUP(C260,Products!$A$2:$G$204,4,FALSE),0)</f>
        <v>0</v>
      </c>
      <c r="N260" s="10">
        <f>IFERROR(E260*VLOOKUP(C260,Products!$A$2:$G$204,5,FALSE),0)</f>
        <v>0</v>
      </c>
      <c r="O260" s="10">
        <f>IF(E260="",0,L260-M260-N260)</f>
        <v>0</v>
      </c>
      <c r="P260" s="9"/>
      <c r="Q260" s="9"/>
    </row>
    <row r="261" spans="1:17" x14ac:dyDescent="0.2">
      <c r="A261" s="14"/>
      <c r="B261" s="6"/>
      <c r="C261" s="6"/>
      <c r="D261" s="6" t="str">
        <f>IFERROR(VLOOKUP(C261,Products!$A$2:$G$204,2,FALSE),"")</f>
        <v/>
      </c>
      <c r="E261" s="15"/>
      <c r="F261" s="7">
        <f>IFERROR(VLOOKUP(C261,Products!$A$2:$G$204,6,FALSE),0)</f>
        <v>0</v>
      </c>
      <c r="G261" s="7"/>
      <c r="H261" s="7"/>
      <c r="I261" s="7">
        <f>IF(OR(E261="",F261=""),0,MAX(0,(E261*F261-G261+H261)*IFERROR(VLOOKUP(C261,Products!$A$2:$G$204,7,FALSE),0)))</f>
        <v>0</v>
      </c>
      <c r="J261" s="7"/>
      <c r="K261" s="7">
        <f>IF(OR(E261="",F261=""),0,E261*F261)</f>
        <v>0</v>
      </c>
      <c r="L261" s="7">
        <f>IF(E261="",0,K261-G261+H261-I261-J261)</f>
        <v>0</v>
      </c>
      <c r="M261" s="7">
        <f>IFERROR(E261*VLOOKUP(C261,Products!$A$2:$G$204,4,FALSE),0)</f>
        <v>0</v>
      </c>
      <c r="N261" s="7">
        <f>IFERROR(E261*VLOOKUP(C261,Products!$A$2:$G$204,5,FALSE),0)</f>
        <v>0</v>
      </c>
      <c r="O261" s="7">
        <f>IF(E261="",0,L261-M261-N261)</f>
        <v>0</v>
      </c>
      <c r="P261" s="6"/>
      <c r="Q261" s="6"/>
    </row>
    <row r="262" spans="1:17" x14ac:dyDescent="0.2">
      <c r="A262" s="12"/>
      <c r="B262" s="9"/>
      <c r="C262" s="9"/>
      <c r="D262" s="9" t="str">
        <f>IFERROR(VLOOKUP(C262,Products!$A$2:$G$204,2,FALSE),"")</f>
        <v/>
      </c>
      <c r="E262" s="13"/>
      <c r="F262" s="10">
        <f>IFERROR(VLOOKUP(C262,Products!$A$2:$G$204,6,FALSE),0)</f>
        <v>0</v>
      </c>
      <c r="G262" s="10"/>
      <c r="H262" s="10"/>
      <c r="I262" s="10">
        <f>IF(OR(E262="",F262=""),0,MAX(0,(E262*F262-G262+H262)*IFERROR(VLOOKUP(C262,Products!$A$2:$G$204,7,FALSE),0)))</f>
        <v>0</v>
      </c>
      <c r="J262" s="10"/>
      <c r="K262" s="10">
        <f>IF(OR(E262="",F262=""),0,E262*F262)</f>
        <v>0</v>
      </c>
      <c r="L262" s="10">
        <f>IF(E262="",0,K262-G262+H262-I262-J262)</f>
        <v>0</v>
      </c>
      <c r="M262" s="10">
        <f>IFERROR(E262*VLOOKUP(C262,Products!$A$2:$G$204,4,FALSE),0)</f>
        <v>0</v>
      </c>
      <c r="N262" s="10">
        <f>IFERROR(E262*VLOOKUP(C262,Products!$A$2:$G$204,5,FALSE),0)</f>
        <v>0</v>
      </c>
      <c r="O262" s="10">
        <f>IF(E262="",0,L262-M262-N262)</f>
        <v>0</v>
      </c>
      <c r="P262" s="9"/>
      <c r="Q262" s="9"/>
    </row>
    <row r="263" spans="1:17" x14ac:dyDescent="0.2">
      <c r="A263" s="14"/>
      <c r="B263" s="6"/>
      <c r="C263" s="6"/>
      <c r="D263" s="6" t="str">
        <f>IFERROR(VLOOKUP(C263,Products!$A$2:$G$204,2,FALSE),"")</f>
        <v/>
      </c>
      <c r="E263" s="15"/>
      <c r="F263" s="7">
        <f>IFERROR(VLOOKUP(C263,Products!$A$2:$G$204,6,FALSE),0)</f>
        <v>0</v>
      </c>
      <c r="G263" s="7"/>
      <c r="H263" s="7"/>
      <c r="I263" s="7">
        <f>IF(OR(E263="",F263=""),0,MAX(0,(E263*F263-G263+H263)*IFERROR(VLOOKUP(C263,Products!$A$2:$G$204,7,FALSE),0)))</f>
        <v>0</v>
      </c>
      <c r="J263" s="7"/>
      <c r="K263" s="7">
        <f>IF(OR(E263="",F263=""),0,E263*F263)</f>
        <v>0</v>
      </c>
      <c r="L263" s="7">
        <f>IF(E263="",0,K263-G263+H263-I263-J263)</f>
        <v>0</v>
      </c>
      <c r="M263" s="7">
        <f>IFERROR(E263*VLOOKUP(C263,Products!$A$2:$G$204,4,FALSE),0)</f>
        <v>0</v>
      </c>
      <c r="N263" s="7">
        <f>IFERROR(E263*VLOOKUP(C263,Products!$A$2:$G$204,5,FALSE),0)</f>
        <v>0</v>
      </c>
      <c r="O263" s="7">
        <f>IF(E263="",0,L263-M263-N263)</f>
        <v>0</v>
      </c>
      <c r="P263" s="6"/>
      <c r="Q263" s="6"/>
    </row>
    <row r="264" spans="1:17" x14ac:dyDescent="0.2">
      <c r="A264" s="12"/>
      <c r="B264" s="9"/>
      <c r="C264" s="9"/>
      <c r="D264" s="9" t="str">
        <f>IFERROR(VLOOKUP(C264,Products!$A$2:$G$204,2,FALSE),"")</f>
        <v/>
      </c>
      <c r="E264" s="13"/>
      <c r="F264" s="10">
        <f>IFERROR(VLOOKUP(C264,Products!$A$2:$G$204,6,FALSE),0)</f>
        <v>0</v>
      </c>
      <c r="G264" s="10"/>
      <c r="H264" s="10"/>
      <c r="I264" s="10">
        <f>IF(OR(E264="",F264=""),0,MAX(0,(E264*F264-G264+H264)*IFERROR(VLOOKUP(C264,Products!$A$2:$G$204,7,FALSE),0)))</f>
        <v>0</v>
      </c>
      <c r="J264" s="10"/>
      <c r="K264" s="10">
        <f>IF(OR(E264="",F264=""),0,E264*F264)</f>
        <v>0</v>
      </c>
      <c r="L264" s="10">
        <f>IF(E264="",0,K264-G264+H264-I264-J264)</f>
        <v>0</v>
      </c>
      <c r="M264" s="10">
        <f>IFERROR(E264*VLOOKUP(C264,Products!$A$2:$G$204,4,FALSE),0)</f>
        <v>0</v>
      </c>
      <c r="N264" s="10">
        <f>IFERROR(E264*VLOOKUP(C264,Products!$A$2:$G$204,5,FALSE),0)</f>
        <v>0</v>
      </c>
      <c r="O264" s="10">
        <f>IF(E264="",0,L264-M264-N264)</f>
        <v>0</v>
      </c>
      <c r="P264" s="9"/>
      <c r="Q264" s="9"/>
    </row>
    <row r="265" spans="1:17" x14ac:dyDescent="0.2">
      <c r="A265" s="14"/>
      <c r="B265" s="6"/>
      <c r="C265" s="6"/>
      <c r="D265" s="6" t="str">
        <f>IFERROR(VLOOKUP(C265,Products!$A$2:$G$204,2,FALSE),"")</f>
        <v/>
      </c>
      <c r="E265" s="15"/>
      <c r="F265" s="7">
        <f>IFERROR(VLOOKUP(C265,Products!$A$2:$G$204,6,FALSE),0)</f>
        <v>0</v>
      </c>
      <c r="G265" s="7"/>
      <c r="H265" s="7"/>
      <c r="I265" s="7">
        <f>IF(OR(E265="",F265=""),0,MAX(0,(E265*F265-G265+H265)*IFERROR(VLOOKUP(C265,Products!$A$2:$G$204,7,FALSE),0)))</f>
        <v>0</v>
      </c>
      <c r="J265" s="7"/>
      <c r="K265" s="7">
        <f>IF(OR(E265="",F265=""),0,E265*F265)</f>
        <v>0</v>
      </c>
      <c r="L265" s="7">
        <f>IF(E265="",0,K265-G265+H265-I265-J265)</f>
        <v>0</v>
      </c>
      <c r="M265" s="7">
        <f>IFERROR(E265*VLOOKUP(C265,Products!$A$2:$G$204,4,FALSE),0)</f>
        <v>0</v>
      </c>
      <c r="N265" s="7">
        <f>IFERROR(E265*VLOOKUP(C265,Products!$A$2:$G$204,5,FALSE),0)</f>
        <v>0</v>
      </c>
      <c r="O265" s="7">
        <f>IF(E265="",0,L265-M265-N265)</f>
        <v>0</v>
      </c>
      <c r="P265" s="6"/>
      <c r="Q265" s="6"/>
    </row>
    <row r="266" spans="1:17" x14ac:dyDescent="0.2">
      <c r="A266" s="12"/>
      <c r="B266" s="9"/>
      <c r="C266" s="9"/>
      <c r="D266" s="9" t="str">
        <f>IFERROR(VLOOKUP(C266,Products!$A$2:$G$204,2,FALSE),"")</f>
        <v/>
      </c>
      <c r="E266" s="13"/>
      <c r="F266" s="10">
        <f>IFERROR(VLOOKUP(C266,Products!$A$2:$G$204,6,FALSE),0)</f>
        <v>0</v>
      </c>
      <c r="G266" s="10"/>
      <c r="H266" s="10"/>
      <c r="I266" s="10">
        <f>IF(OR(E266="",F266=""),0,MAX(0,(E266*F266-G266+H266)*IFERROR(VLOOKUP(C266,Products!$A$2:$G$204,7,FALSE),0)))</f>
        <v>0</v>
      </c>
      <c r="J266" s="10"/>
      <c r="K266" s="10">
        <f>IF(OR(E266="",F266=""),0,E266*F266)</f>
        <v>0</v>
      </c>
      <c r="L266" s="10">
        <f>IF(E266="",0,K266-G266+H266-I266-J266)</f>
        <v>0</v>
      </c>
      <c r="M266" s="10">
        <f>IFERROR(E266*VLOOKUP(C266,Products!$A$2:$G$204,4,FALSE),0)</f>
        <v>0</v>
      </c>
      <c r="N266" s="10">
        <f>IFERROR(E266*VLOOKUP(C266,Products!$A$2:$G$204,5,FALSE),0)</f>
        <v>0</v>
      </c>
      <c r="O266" s="10">
        <f>IF(E266="",0,L266-M266-N266)</f>
        <v>0</v>
      </c>
      <c r="P266" s="9"/>
      <c r="Q266" s="9"/>
    </row>
    <row r="267" spans="1:17" x14ac:dyDescent="0.2">
      <c r="A267" s="14"/>
      <c r="B267" s="6"/>
      <c r="C267" s="6"/>
      <c r="D267" s="6" t="str">
        <f>IFERROR(VLOOKUP(C267,Products!$A$2:$G$204,2,FALSE),"")</f>
        <v/>
      </c>
      <c r="E267" s="15"/>
      <c r="F267" s="7">
        <f>IFERROR(VLOOKUP(C267,Products!$A$2:$G$204,6,FALSE),0)</f>
        <v>0</v>
      </c>
      <c r="G267" s="7"/>
      <c r="H267" s="7"/>
      <c r="I267" s="7">
        <f>IF(OR(E267="",F267=""),0,MAX(0,(E267*F267-G267+H267)*IFERROR(VLOOKUP(C267,Products!$A$2:$G$204,7,FALSE),0)))</f>
        <v>0</v>
      </c>
      <c r="J267" s="7"/>
      <c r="K267" s="7">
        <f>IF(OR(E267="",F267=""),0,E267*F267)</f>
        <v>0</v>
      </c>
      <c r="L267" s="7">
        <f>IF(E267="",0,K267-G267+H267-I267-J267)</f>
        <v>0</v>
      </c>
      <c r="M267" s="7">
        <f>IFERROR(E267*VLOOKUP(C267,Products!$A$2:$G$204,4,FALSE),0)</f>
        <v>0</v>
      </c>
      <c r="N267" s="7">
        <f>IFERROR(E267*VLOOKUP(C267,Products!$A$2:$G$204,5,FALSE),0)</f>
        <v>0</v>
      </c>
      <c r="O267" s="7">
        <f>IF(E267="",0,L267-M267-N267)</f>
        <v>0</v>
      </c>
      <c r="P267" s="6"/>
      <c r="Q267" s="6"/>
    </row>
    <row r="268" spans="1:17" x14ac:dyDescent="0.2">
      <c r="A268" s="12"/>
      <c r="B268" s="9"/>
      <c r="C268" s="9"/>
      <c r="D268" s="9" t="str">
        <f>IFERROR(VLOOKUP(C268,Products!$A$2:$G$204,2,FALSE),"")</f>
        <v/>
      </c>
      <c r="E268" s="13"/>
      <c r="F268" s="10">
        <f>IFERROR(VLOOKUP(C268,Products!$A$2:$G$204,6,FALSE),0)</f>
        <v>0</v>
      </c>
      <c r="G268" s="10"/>
      <c r="H268" s="10"/>
      <c r="I268" s="10">
        <f>IF(OR(E268="",F268=""),0,MAX(0,(E268*F268-G268+H268)*IFERROR(VLOOKUP(C268,Products!$A$2:$G$204,7,FALSE),0)))</f>
        <v>0</v>
      </c>
      <c r="J268" s="10"/>
      <c r="K268" s="10">
        <f>IF(OR(E268="",F268=""),0,E268*F268)</f>
        <v>0</v>
      </c>
      <c r="L268" s="10">
        <f>IF(E268="",0,K268-G268+H268-I268-J268)</f>
        <v>0</v>
      </c>
      <c r="M268" s="10">
        <f>IFERROR(E268*VLOOKUP(C268,Products!$A$2:$G$204,4,FALSE),0)</f>
        <v>0</v>
      </c>
      <c r="N268" s="10">
        <f>IFERROR(E268*VLOOKUP(C268,Products!$A$2:$G$204,5,FALSE),0)</f>
        <v>0</v>
      </c>
      <c r="O268" s="10">
        <f>IF(E268="",0,L268-M268-N268)</f>
        <v>0</v>
      </c>
      <c r="P268" s="9"/>
      <c r="Q268" s="9"/>
    </row>
    <row r="269" spans="1:17" x14ac:dyDescent="0.2">
      <c r="A269" s="14"/>
      <c r="B269" s="6"/>
      <c r="C269" s="6"/>
      <c r="D269" s="6" t="str">
        <f>IFERROR(VLOOKUP(C269,Products!$A$2:$G$204,2,FALSE),"")</f>
        <v/>
      </c>
      <c r="E269" s="15"/>
      <c r="F269" s="7">
        <f>IFERROR(VLOOKUP(C269,Products!$A$2:$G$204,6,FALSE),0)</f>
        <v>0</v>
      </c>
      <c r="G269" s="7"/>
      <c r="H269" s="7"/>
      <c r="I269" s="7">
        <f>IF(OR(E269="",F269=""),0,MAX(0,(E269*F269-G269+H269)*IFERROR(VLOOKUP(C269,Products!$A$2:$G$204,7,FALSE),0)))</f>
        <v>0</v>
      </c>
      <c r="J269" s="7"/>
      <c r="K269" s="7">
        <f>IF(OR(E269="",F269=""),0,E269*F269)</f>
        <v>0</v>
      </c>
      <c r="L269" s="7">
        <f>IF(E269="",0,K269-G269+H269-I269-J269)</f>
        <v>0</v>
      </c>
      <c r="M269" s="7">
        <f>IFERROR(E269*VLOOKUP(C269,Products!$A$2:$G$204,4,FALSE),0)</f>
        <v>0</v>
      </c>
      <c r="N269" s="7">
        <f>IFERROR(E269*VLOOKUP(C269,Products!$A$2:$G$204,5,FALSE),0)</f>
        <v>0</v>
      </c>
      <c r="O269" s="7">
        <f>IF(E269="",0,L269-M269-N269)</f>
        <v>0</v>
      </c>
      <c r="P269" s="6"/>
      <c r="Q269" s="6"/>
    </row>
    <row r="270" spans="1:17" x14ac:dyDescent="0.2">
      <c r="A270" s="12"/>
      <c r="B270" s="9"/>
      <c r="C270" s="9"/>
      <c r="D270" s="9" t="str">
        <f>IFERROR(VLOOKUP(C270,Products!$A$2:$G$204,2,FALSE),"")</f>
        <v/>
      </c>
      <c r="E270" s="13"/>
      <c r="F270" s="10">
        <f>IFERROR(VLOOKUP(C270,Products!$A$2:$G$204,6,FALSE),0)</f>
        <v>0</v>
      </c>
      <c r="G270" s="10"/>
      <c r="H270" s="10"/>
      <c r="I270" s="10">
        <f>IF(OR(E270="",F270=""),0,MAX(0,(E270*F270-G270+H270)*IFERROR(VLOOKUP(C270,Products!$A$2:$G$204,7,FALSE),0)))</f>
        <v>0</v>
      </c>
      <c r="J270" s="10"/>
      <c r="K270" s="10">
        <f>IF(OR(E270="",F270=""),0,E270*F270)</f>
        <v>0</v>
      </c>
      <c r="L270" s="10">
        <f>IF(E270="",0,K270-G270+H270-I270-J270)</f>
        <v>0</v>
      </c>
      <c r="M270" s="10">
        <f>IFERROR(E270*VLOOKUP(C270,Products!$A$2:$G$204,4,FALSE),0)</f>
        <v>0</v>
      </c>
      <c r="N270" s="10">
        <f>IFERROR(E270*VLOOKUP(C270,Products!$A$2:$G$204,5,FALSE),0)</f>
        <v>0</v>
      </c>
      <c r="O270" s="10">
        <f>IF(E270="",0,L270-M270-N270)</f>
        <v>0</v>
      </c>
      <c r="P270" s="9"/>
      <c r="Q270" s="9"/>
    </row>
    <row r="271" spans="1:17" x14ac:dyDescent="0.2">
      <c r="A271" s="14"/>
      <c r="B271" s="6"/>
      <c r="C271" s="6"/>
      <c r="D271" s="6" t="str">
        <f>IFERROR(VLOOKUP(C271,Products!$A$2:$G$204,2,FALSE),"")</f>
        <v/>
      </c>
      <c r="E271" s="15"/>
      <c r="F271" s="7">
        <f>IFERROR(VLOOKUP(C271,Products!$A$2:$G$204,6,FALSE),0)</f>
        <v>0</v>
      </c>
      <c r="G271" s="7"/>
      <c r="H271" s="7"/>
      <c r="I271" s="7">
        <f>IF(OR(E271="",F271=""),0,MAX(0,(E271*F271-G271+H271)*IFERROR(VLOOKUP(C271,Products!$A$2:$G$204,7,FALSE),0)))</f>
        <v>0</v>
      </c>
      <c r="J271" s="7"/>
      <c r="K271" s="7">
        <f>IF(OR(E271="",F271=""),0,E271*F271)</f>
        <v>0</v>
      </c>
      <c r="L271" s="7">
        <f>IF(E271="",0,K271-G271+H271-I271-J271)</f>
        <v>0</v>
      </c>
      <c r="M271" s="7">
        <f>IFERROR(E271*VLOOKUP(C271,Products!$A$2:$G$204,4,FALSE),0)</f>
        <v>0</v>
      </c>
      <c r="N271" s="7">
        <f>IFERROR(E271*VLOOKUP(C271,Products!$A$2:$G$204,5,FALSE),0)</f>
        <v>0</v>
      </c>
      <c r="O271" s="7">
        <f>IF(E271="",0,L271-M271-N271)</f>
        <v>0</v>
      </c>
      <c r="P271" s="6"/>
      <c r="Q271" s="6"/>
    </row>
    <row r="272" spans="1:17" x14ac:dyDescent="0.2">
      <c r="A272" s="12"/>
      <c r="B272" s="9"/>
      <c r="C272" s="9"/>
      <c r="D272" s="9" t="str">
        <f>IFERROR(VLOOKUP(C272,Products!$A$2:$G$204,2,FALSE),"")</f>
        <v/>
      </c>
      <c r="E272" s="13"/>
      <c r="F272" s="10">
        <f>IFERROR(VLOOKUP(C272,Products!$A$2:$G$204,6,FALSE),0)</f>
        <v>0</v>
      </c>
      <c r="G272" s="10"/>
      <c r="H272" s="10"/>
      <c r="I272" s="10">
        <f>IF(OR(E272="",F272=""),0,MAX(0,(E272*F272-G272+H272)*IFERROR(VLOOKUP(C272,Products!$A$2:$G$204,7,FALSE),0)))</f>
        <v>0</v>
      </c>
      <c r="J272" s="10"/>
      <c r="K272" s="10">
        <f>IF(OR(E272="",F272=""),0,E272*F272)</f>
        <v>0</v>
      </c>
      <c r="L272" s="10">
        <f>IF(E272="",0,K272-G272+H272-I272-J272)</f>
        <v>0</v>
      </c>
      <c r="M272" s="10">
        <f>IFERROR(E272*VLOOKUP(C272,Products!$A$2:$G$204,4,FALSE),0)</f>
        <v>0</v>
      </c>
      <c r="N272" s="10">
        <f>IFERROR(E272*VLOOKUP(C272,Products!$A$2:$G$204,5,FALSE),0)</f>
        <v>0</v>
      </c>
      <c r="O272" s="10">
        <f>IF(E272="",0,L272-M272-N272)</f>
        <v>0</v>
      </c>
      <c r="P272" s="9"/>
      <c r="Q272" s="9"/>
    </row>
    <row r="273" spans="1:17" x14ac:dyDescent="0.2">
      <c r="A273" s="14"/>
      <c r="B273" s="6"/>
      <c r="C273" s="6"/>
      <c r="D273" s="6" t="str">
        <f>IFERROR(VLOOKUP(C273,Products!$A$2:$G$204,2,FALSE),"")</f>
        <v/>
      </c>
      <c r="E273" s="15"/>
      <c r="F273" s="7">
        <f>IFERROR(VLOOKUP(C273,Products!$A$2:$G$204,6,FALSE),0)</f>
        <v>0</v>
      </c>
      <c r="G273" s="7"/>
      <c r="H273" s="7"/>
      <c r="I273" s="7">
        <f>IF(OR(E273="",F273=""),0,MAX(0,(E273*F273-G273+H273)*IFERROR(VLOOKUP(C273,Products!$A$2:$G$204,7,FALSE),0)))</f>
        <v>0</v>
      </c>
      <c r="J273" s="7"/>
      <c r="K273" s="7">
        <f>IF(OR(E273="",F273=""),0,E273*F273)</f>
        <v>0</v>
      </c>
      <c r="L273" s="7">
        <f>IF(E273="",0,K273-G273+H273-I273-J273)</f>
        <v>0</v>
      </c>
      <c r="M273" s="7">
        <f>IFERROR(E273*VLOOKUP(C273,Products!$A$2:$G$204,4,FALSE),0)</f>
        <v>0</v>
      </c>
      <c r="N273" s="7">
        <f>IFERROR(E273*VLOOKUP(C273,Products!$A$2:$G$204,5,FALSE),0)</f>
        <v>0</v>
      </c>
      <c r="O273" s="7">
        <f>IF(E273="",0,L273-M273-N273)</f>
        <v>0</v>
      </c>
      <c r="P273" s="6"/>
      <c r="Q273" s="6"/>
    </row>
    <row r="274" spans="1:17" x14ac:dyDescent="0.2">
      <c r="A274" s="12"/>
      <c r="B274" s="9"/>
      <c r="C274" s="9"/>
      <c r="D274" s="9" t="str">
        <f>IFERROR(VLOOKUP(C274,Products!$A$2:$G$204,2,FALSE),"")</f>
        <v/>
      </c>
      <c r="E274" s="13"/>
      <c r="F274" s="10">
        <f>IFERROR(VLOOKUP(C274,Products!$A$2:$G$204,6,FALSE),0)</f>
        <v>0</v>
      </c>
      <c r="G274" s="10"/>
      <c r="H274" s="10"/>
      <c r="I274" s="10">
        <f>IF(OR(E274="",F274=""),0,MAX(0,(E274*F274-G274+H274)*IFERROR(VLOOKUP(C274,Products!$A$2:$G$204,7,FALSE),0)))</f>
        <v>0</v>
      </c>
      <c r="J274" s="10"/>
      <c r="K274" s="10">
        <f>IF(OR(E274="",F274=""),0,E274*F274)</f>
        <v>0</v>
      </c>
      <c r="L274" s="10">
        <f>IF(E274="",0,K274-G274+H274-I274-J274)</f>
        <v>0</v>
      </c>
      <c r="M274" s="10">
        <f>IFERROR(E274*VLOOKUP(C274,Products!$A$2:$G$204,4,FALSE),0)</f>
        <v>0</v>
      </c>
      <c r="N274" s="10">
        <f>IFERROR(E274*VLOOKUP(C274,Products!$A$2:$G$204,5,FALSE),0)</f>
        <v>0</v>
      </c>
      <c r="O274" s="10">
        <f>IF(E274="",0,L274-M274-N274)</f>
        <v>0</v>
      </c>
      <c r="P274" s="9"/>
      <c r="Q274" s="9"/>
    </row>
    <row r="275" spans="1:17" x14ac:dyDescent="0.2">
      <c r="A275" s="14"/>
      <c r="B275" s="6"/>
      <c r="C275" s="6"/>
      <c r="D275" s="6" t="str">
        <f>IFERROR(VLOOKUP(C275,Products!$A$2:$G$204,2,FALSE),"")</f>
        <v/>
      </c>
      <c r="E275" s="15"/>
      <c r="F275" s="7">
        <f>IFERROR(VLOOKUP(C275,Products!$A$2:$G$204,6,FALSE),0)</f>
        <v>0</v>
      </c>
      <c r="G275" s="7"/>
      <c r="H275" s="7"/>
      <c r="I275" s="7">
        <f>IF(OR(E275="",F275=""),0,MAX(0,(E275*F275-G275+H275)*IFERROR(VLOOKUP(C275,Products!$A$2:$G$204,7,FALSE),0)))</f>
        <v>0</v>
      </c>
      <c r="J275" s="7"/>
      <c r="K275" s="7">
        <f>IF(OR(E275="",F275=""),0,E275*F275)</f>
        <v>0</v>
      </c>
      <c r="L275" s="7">
        <f>IF(E275="",0,K275-G275+H275-I275-J275)</f>
        <v>0</v>
      </c>
      <c r="M275" s="7">
        <f>IFERROR(E275*VLOOKUP(C275,Products!$A$2:$G$204,4,FALSE),0)</f>
        <v>0</v>
      </c>
      <c r="N275" s="7">
        <f>IFERROR(E275*VLOOKUP(C275,Products!$A$2:$G$204,5,FALSE),0)</f>
        <v>0</v>
      </c>
      <c r="O275" s="7">
        <f>IF(E275="",0,L275-M275-N275)</f>
        <v>0</v>
      </c>
      <c r="P275" s="6"/>
      <c r="Q275" s="6"/>
    </row>
    <row r="276" spans="1:17" x14ac:dyDescent="0.2">
      <c r="A276" s="12"/>
      <c r="B276" s="9"/>
      <c r="C276" s="9"/>
      <c r="D276" s="9" t="str">
        <f>IFERROR(VLOOKUP(C276,Products!$A$2:$G$204,2,FALSE),"")</f>
        <v/>
      </c>
      <c r="E276" s="13"/>
      <c r="F276" s="10">
        <f>IFERROR(VLOOKUP(C276,Products!$A$2:$G$204,6,FALSE),0)</f>
        <v>0</v>
      </c>
      <c r="G276" s="10"/>
      <c r="H276" s="10"/>
      <c r="I276" s="10">
        <f>IF(OR(E276="",F276=""),0,MAX(0,(E276*F276-G276+H276)*IFERROR(VLOOKUP(C276,Products!$A$2:$G$204,7,FALSE),0)))</f>
        <v>0</v>
      </c>
      <c r="J276" s="10"/>
      <c r="K276" s="10">
        <f>IF(OR(E276="",F276=""),0,E276*F276)</f>
        <v>0</v>
      </c>
      <c r="L276" s="10">
        <f>IF(E276="",0,K276-G276+H276-I276-J276)</f>
        <v>0</v>
      </c>
      <c r="M276" s="10">
        <f>IFERROR(E276*VLOOKUP(C276,Products!$A$2:$G$204,4,FALSE),0)</f>
        <v>0</v>
      </c>
      <c r="N276" s="10">
        <f>IFERROR(E276*VLOOKUP(C276,Products!$A$2:$G$204,5,FALSE),0)</f>
        <v>0</v>
      </c>
      <c r="O276" s="10">
        <f>IF(E276="",0,L276-M276-N276)</f>
        <v>0</v>
      </c>
      <c r="P276" s="9"/>
      <c r="Q276" s="9"/>
    </row>
    <row r="277" spans="1:17" x14ac:dyDescent="0.2">
      <c r="A277" s="14"/>
      <c r="B277" s="6"/>
      <c r="C277" s="6"/>
      <c r="D277" s="6" t="str">
        <f>IFERROR(VLOOKUP(C277,Products!$A$2:$G$204,2,FALSE),"")</f>
        <v/>
      </c>
      <c r="E277" s="15"/>
      <c r="F277" s="7">
        <f>IFERROR(VLOOKUP(C277,Products!$A$2:$G$204,6,FALSE),0)</f>
        <v>0</v>
      </c>
      <c r="G277" s="7"/>
      <c r="H277" s="7"/>
      <c r="I277" s="7">
        <f>IF(OR(E277="",F277=""),0,MAX(0,(E277*F277-G277+H277)*IFERROR(VLOOKUP(C277,Products!$A$2:$G$204,7,FALSE),0)))</f>
        <v>0</v>
      </c>
      <c r="J277" s="7"/>
      <c r="K277" s="7">
        <f>IF(OR(E277="",F277=""),0,E277*F277)</f>
        <v>0</v>
      </c>
      <c r="L277" s="7">
        <f>IF(E277="",0,K277-G277+H277-I277-J277)</f>
        <v>0</v>
      </c>
      <c r="M277" s="7">
        <f>IFERROR(E277*VLOOKUP(C277,Products!$A$2:$G$204,4,FALSE),0)</f>
        <v>0</v>
      </c>
      <c r="N277" s="7">
        <f>IFERROR(E277*VLOOKUP(C277,Products!$A$2:$G$204,5,FALSE),0)</f>
        <v>0</v>
      </c>
      <c r="O277" s="7">
        <f>IF(E277="",0,L277-M277-N277)</f>
        <v>0</v>
      </c>
      <c r="P277" s="6"/>
      <c r="Q277" s="6"/>
    </row>
    <row r="278" spans="1:17" x14ac:dyDescent="0.2">
      <c r="A278" s="12"/>
      <c r="B278" s="9"/>
      <c r="C278" s="9"/>
      <c r="D278" s="9" t="str">
        <f>IFERROR(VLOOKUP(C278,Products!$A$2:$G$204,2,FALSE),"")</f>
        <v/>
      </c>
      <c r="E278" s="13"/>
      <c r="F278" s="10">
        <f>IFERROR(VLOOKUP(C278,Products!$A$2:$G$204,6,FALSE),0)</f>
        <v>0</v>
      </c>
      <c r="G278" s="10"/>
      <c r="H278" s="10"/>
      <c r="I278" s="10">
        <f>IF(OR(E278="",F278=""),0,MAX(0,(E278*F278-G278+H278)*IFERROR(VLOOKUP(C278,Products!$A$2:$G$204,7,FALSE),0)))</f>
        <v>0</v>
      </c>
      <c r="J278" s="10"/>
      <c r="K278" s="10">
        <f>IF(OR(E278="",F278=""),0,E278*F278)</f>
        <v>0</v>
      </c>
      <c r="L278" s="10">
        <f>IF(E278="",0,K278-G278+H278-I278-J278)</f>
        <v>0</v>
      </c>
      <c r="M278" s="10">
        <f>IFERROR(E278*VLOOKUP(C278,Products!$A$2:$G$204,4,FALSE),0)</f>
        <v>0</v>
      </c>
      <c r="N278" s="10">
        <f>IFERROR(E278*VLOOKUP(C278,Products!$A$2:$G$204,5,FALSE),0)</f>
        <v>0</v>
      </c>
      <c r="O278" s="10">
        <f>IF(E278="",0,L278-M278-N278)</f>
        <v>0</v>
      </c>
      <c r="P278" s="9"/>
      <c r="Q278" s="9"/>
    </row>
    <row r="279" spans="1:17" x14ac:dyDescent="0.2">
      <c r="A279" s="14"/>
      <c r="B279" s="6"/>
      <c r="C279" s="6"/>
      <c r="D279" s="6" t="str">
        <f>IFERROR(VLOOKUP(C279,Products!$A$2:$G$204,2,FALSE),"")</f>
        <v/>
      </c>
      <c r="E279" s="15"/>
      <c r="F279" s="7">
        <f>IFERROR(VLOOKUP(C279,Products!$A$2:$G$204,6,FALSE),0)</f>
        <v>0</v>
      </c>
      <c r="G279" s="7"/>
      <c r="H279" s="7"/>
      <c r="I279" s="7">
        <f>IF(OR(E279="",F279=""),0,MAX(0,(E279*F279-G279+H279)*IFERROR(VLOOKUP(C279,Products!$A$2:$G$204,7,FALSE),0)))</f>
        <v>0</v>
      </c>
      <c r="J279" s="7"/>
      <c r="K279" s="7">
        <f>IF(OR(E279="",F279=""),0,E279*F279)</f>
        <v>0</v>
      </c>
      <c r="L279" s="7">
        <f>IF(E279="",0,K279-G279+H279-I279-J279)</f>
        <v>0</v>
      </c>
      <c r="M279" s="7">
        <f>IFERROR(E279*VLOOKUP(C279,Products!$A$2:$G$204,4,FALSE),0)</f>
        <v>0</v>
      </c>
      <c r="N279" s="7">
        <f>IFERROR(E279*VLOOKUP(C279,Products!$A$2:$G$204,5,FALSE),0)</f>
        <v>0</v>
      </c>
      <c r="O279" s="7">
        <f>IF(E279="",0,L279-M279-N279)</f>
        <v>0</v>
      </c>
      <c r="P279" s="6"/>
      <c r="Q279" s="6"/>
    </row>
    <row r="280" spans="1:17" x14ac:dyDescent="0.2">
      <c r="A280" s="12"/>
      <c r="B280" s="9"/>
      <c r="C280" s="9"/>
      <c r="D280" s="9" t="str">
        <f>IFERROR(VLOOKUP(C280,Products!$A$2:$G$204,2,FALSE),"")</f>
        <v/>
      </c>
      <c r="E280" s="13"/>
      <c r="F280" s="10">
        <f>IFERROR(VLOOKUP(C280,Products!$A$2:$G$204,6,FALSE),0)</f>
        <v>0</v>
      </c>
      <c r="G280" s="10"/>
      <c r="H280" s="10"/>
      <c r="I280" s="10">
        <f>IF(OR(E280="",F280=""),0,MAX(0,(E280*F280-G280+H280)*IFERROR(VLOOKUP(C280,Products!$A$2:$G$204,7,FALSE),0)))</f>
        <v>0</v>
      </c>
      <c r="J280" s="10"/>
      <c r="K280" s="10">
        <f>IF(OR(E280="",F280=""),0,E280*F280)</f>
        <v>0</v>
      </c>
      <c r="L280" s="10">
        <f>IF(E280="",0,K280-G280+H280-I280-J280)</f>
        <v>0</v>
      </c>
      <c r="M280" s="10">
        <f>IFERROR(E280*VLOOKUP(C280,Products!$A$2:$G$204,4,FALSE),0)</f>
        <v>0</v>
      </c>
      <c r="N280" s="10">
        <f>IFERROR(E280*VLOOKUP(C280,Products!$A$2:$G$204,5,FALSE),0)</f>
        <v>0</v>
      </c>
      <c r="O280" s="10">
        <f>IF(E280="",0,L280-M280-N280)</f>
        <v>0</v>
      </c>
      <c r="P280" s="9"/>
      <c r="Q280" s="9"/>
    </row>
    <row r="281" spans="1:17" x14ac:dyDescent="0.2">
      <c r="A281" s="14"/>
      <c r="B281" s="6"/>
      <c r="C281" s="6"/>
      <c r="D281" s="6" t="str">
        <f>IFERROR(VLOOKUP(C281,Products!$A$2:$G$204,2,FALSE),"")</f>
        <v/>
      </c>
      <c r="E281" s="15"/>
      <c r="F281" s="7">
        <f>IFERROR(VLOOKUP(C281,Products!$A$2:$G$204,6,FALSE),0)</f>
        <v>0</v>
      </c>
      <c r="G281" s="7"/>
      <c r="H281" s="7"/>
      <c r="I281" s="7">
        <f>IF(OR(E281="",F281=""),0,MAX(0,(E281*F281-G281+H281)*IFERROR(VLOOKUP(C281,Products!$A$2:$G$204,7,FALSE),0)))</f>
        <v>0</v>
      </c>
      <c r="J281" s="7"/>
      <c r="K281" s="7">
        <f>IF(OR(E281="",F281=""),0,E281*F281)</f>
        <v>0</v>
      </c>
      <c r="L281" s="7">
        <f>IF(E281="",0,K281-G281+H281-I281-J281)</f>
        <v>0</v>
      </c>
      <c r="M281" s="7">
        <f>IFERROR(E281*VLOOKUP(C281,Products!$A$2:$G$204,4,FALSE),0)</f>
        <v>0</v>
      </c>
      <c r="N281" s="7">
        <f>IFERROR(E281*VLOOKUP(C281,Products!$A$2:$G$204,5,FALSE),0)</f>
        <v>0</v>
      </c>
      <c r="O281" s="7">
        <f>IF(E281="",0,L281-M281-N281)</f>
        <v>0</v>
      </c>
      <c r="P281" s="6"/>
      <c r="Q281" s="6"/>
    </row>
    <row r="282" spans="1:17" x14ac:dyDescent="0.2">
      <c r="A282" s="12"/>
      <c r="B282" s="9"/>
      <c r="C282" s="9"/>
      <c r="D282" s="9" t="str">
        <f>IFERROR(VLOOKUP(C282,Products!$A$2:$G$204,2,FALSE),"")</f>
        <v/>
      </c>
      <c r="E282" s="13"/>
      <c r="F282" s="10">
        <f>IFERROR(VLOOKUP(C282,Products!$A$2:$G$204,6,FALSE),0)</f>
        <v>0</v>
      </c>
      <c r="G282" s="10"/>
      <c r="H282" s="10"/>
      <c r="I282" s="10">
        <f>IF(OR(E282="",F282=""),0,MAX(0,(E282*F282-G282+H282)*IFERROR(VLOOKUP(C282,Products!$A$2:$G$204,7,FALSE),0)))</f>
        <v>0</v>
      </c>
      <c r="J282" s="10"/>
      <c r="K282" s="10">
        <f>IF(OR(E282="",F282=""),0,E282*F282)</f>
        <v>0</v>
      </c>
      <c r="L282" s="10">
        <f>IF(E282="",0,K282-G282+H282-I282-J282)</f>
        <v>0</v>
      </c>
      <c r="M282" s="10">
        <f>IFERROR(E282*VLOOKUP(C282,Products!$A$2:$G$204,4,FALSE),0)</f>
        <v>0</v>
      </c>
      <c r="N282" s="10">
        <f>IFERROR(E282*VLOOKUP(C282,Products!$A$2:$G$204,5,FALSE),0)</f>
        <v>0</v>
      </c>
      <c r="O282" s="10">
        <f>IF(E282="",0,L282-M282-N282)</f>
        <v>0</v>
      </c>
      <c r="P282" s="9"/>
      <c r="Q282" s="9"/>
    </row>
    <row r="283" spans="1:17" x14ac:dyDescent="0.2">
      <c r="A283" s="14"/>
      <c r="B283" s="6"/>
      <c r="C283" s="6"/>
      <c r="D283" s="6" t="str">
        <f>IFERROR(VLOOKUP(C283,Products!$A$2:$G$204,2,FALSE),"")</f>
        <v/>
      </c>
      <c r="E283" s="15"/>
      <c r="F283" s="7">
        <f>IFERROR(VLOOKUP(C283,Products!$A$2:$G$204,6,FALSE),0)</f>
        <v>0</v>
      </c>
      <c r="G283" s="7"/>
      <c r="H283" s="7"/>
      <c r="I283" s="7">
        <f>IF(OR(E283="",F283=""),0,MAX(0,(E283*F283-G283+H283)*IFERROR(VLOOKUP(C283,Products!$A$2:$G$204,7,FALSE),0)))</f>
        <v>0</v>
      </c>
      <c r="J283" s="7"/>
      <c r="K283" s="7">
        <f>IF(OR(E283="",F283=""),0,E283*F283)</f>
        <v>0</v>
      </c>
      <c r="L283" s="7">
        <f>IF(E283="",0,K283-G283+H283-I283-J283)</f>
        <v>0</v>
      </c>
      <c r="M283" s="7">
        <f>IFERROR(E283*VLOOKUP(C283,Products!$A$2:$G$204,4,FALSE),0)</f>
        <v>0</v>
      </c>
      <c r="N283" s="7">
        <f>IFERROR(E283*VLOOKUP(C283,Products!$A$2:$G$204,5,FALSE),0)</f>
        <v>0</v>
      </c>
      <c r="O283" s="7">
        <f>IF(E283="",0,L283-M283-N283)</f>
        <v>0</v>
      </c>
      <c r="P283" s="6"/>
      <c r="Q283" s="6"/>
    </row>
    <row r="284" spans="1:17" x14ac:dyDescent="0.2">
      <c r="A284" s="12"/>
      <c r="B284" s="9"/>
      <c r="C284" s="9"/>
      <c r="D284" s="9" t="str">
        <f>IFERROR(VLOOKUP(C284,Products!$A$2:$G$204,2,FALSE),"")</f>
        <v/>
      </c>
      <c r="E284" s="13"/>
      <c r="F284" s="10">
        <f>IFERROR(VLOOKUP(C284,Products!$A$2:$G$204,6,FALSE),0)</f>
        <v>0</v>
      </c>
      <c r="G284" s="10"/>
      <c r="H284" s="10"/>
      <c r="I284" s="10">
        <f>IF(OR(E284="",F284=""),0,MAX(0,(E284*F284-G284+H284)*IFERROR(VLOOKUP(C284,Products!$A$2:$G$204,7,FALSE),0)))</f>
        <v>0</v>
      </c>
      <c r="J284" s="10"/>
      <c r="K284" s="10">
        <f>IF(OR(E284="",F284=""),0,E284*F284)</f>
        <v>0</v>
      </c>
      <c r="L284" s="10">
        <f>IF(E284="",0,K284-G284+H284-I284-J284)</f>
        <v>0</v>
      </c>
      <c r="M284" s="10">
        <f>IFERROR(E284*VLOOKUP(C284,Products!$A$2:$G$204,4,FALSE),0)</f>
        <v>0</v>
      </c>
      <c r="N284" s="10">
        <f>IFERROR(E284*VLOOKUP(C284,Products!$A$2:$G$204,5,FALSE),0)</f>
        <v>0</v>
      </c>
      <c r="O284" s="10">
        <f>IF(E284="",0,L284-M284-N284)</f>
        <v>0</v>
      </c>
      <c r="P284" s="9"/>
      <c r="Q284" s="9"/>
    </row>
    <row r="285" spans="1:17" x14ac:dyDescent="0.2">
      <c r="A285" s="14"/>
      <c r="B285" s="6"/>
      <c r="C285" s="6"/>
      <c r="D285" s="6" t="str">
        <f>IFERROR(VLOOKUP(C285,Products!$A$2:$G$204,2,FALSE),"")</f>
        <v/>
      </c>
      <c r="E285" s="15"/>
      <c r="F285" s="7">
        <f>IFERROR(VLOOKUP(C285,Products!$A$2:$G$204,6,FALSE),0)</f>
        <v>0</v>
      </c>
      <c r="G285" s="7"/>
      <c r="H285" s="7"/>
      <c r="I285" s="7">
        <f>IF(OR(E285="",F285=""),0,MAX(0,(E285*F285-G285+H285)*IFERROR(VLOOKUP(C285,Products!$A$2:$G$204,7,FALSE),0)))</f>
        <v>0</v>
      </c>
      <c r="J285" s="7"/>
      <c r="K285" s="7">
        <f>IF(OR(E285="",F285=""),0,E285*F285)</f>
        <v>0</v>
      </c>
      <c r="L285" s="7">
        <f>IF(E285="",0,K285-G285+H285-I285-J285)</f>
        <v>0</v>
      </c>
      <c r="M285" s="7">
        <f>IFERROR(E285*VLOOKUP(C285,Products!$A$2:$G$204,4,FALSE),0)</f>
        <v>0</v>
      </c>
      <c r="N285" s="7">
        <f>IFERROR(E285*VLOOKUP(C285,Products!$A$2:$G$204,5,FALSE),0)</f>
        <v>0</v>
      </c>
      <c r="O285" s="7">
        <f>IF(E285="",0,L285-M285-N285)</f>
        <v>0</v>
      </c>
      <c r="P285" s="6"/>
      <c r="Q285" s="6"/>
    </row>
    <row r="286" spans="1:17" x14ac:dyDescent="0.2">
      <c r="A286" s="12"/>
      <c r="B286" s="9"/>
      <c r="C286" s="9"/>
      <c r="D286" s="9" t="str">
        <f>IFERROR(VLOOKUP(C286,Products!$A$2:$G$204,2,FALSE),"")</f>
        <v/>
      </c>
      <c r="E286" s="13"/>
      <c r="F286" s="10">
        <f>IFERROR(VLOOKUP(C286,Products!$A$2:$G$204,6,FALSE),0)</f>
        <v>0</v>
      </c>
      <c r="G286" s="10"/>
      <c r="H286" s="10"/>
      <c r="I286" s="10">
        <f>IF(OR(E286="",F286=""),0,MAX(0,(E286*F286-G286+H286)*IFERROR(VLOOKUP(C286,Products!$A$2:$G$204,7,FALSE),0)))</f>
        <v>0</v>
      </c>
      <c r="J286" s="10"/>
      <c r="K286" s="10">
        <f>IF(OR(E286="",F286=""),0,E286*F286)</f>
        <v>0</v>
      </c>
      <c r="L286" s="10">
        <f>IF(E286="",0,K286-G286+H286-I286-J286)</f>
        <v>0</v>
      </c>
      <c r="M286" s="10">
        <f>IFERROR(E286*VLOOKUP(C286,Products!$A$2:$G$204,4,FALSE),0)</f>
        <v>0</v>
      </c>
      <c r="N286" s="10">
        <f>IFERROR(E286*VLOOKUP(C286,Products!$A$2:$G$204,5,FALSE),0)</f>
        <v>0</v>
      </c>
      <c r="O286" s="10">
        <f>IF(E286="",0,L286-M286-N286)</f>
        <v>0</v>
      </c>
      <c r="P286" s="9"/>
      <c r="Q286" s="9"/>
    </row>
    <row r="287" spans="1:17" x14ac:dyDescent="0.2">
      <c r="A287" s="14"/>
      <c r="B287" s="6"/>
      <c r="C287" s="6"/>
      <c r="D287" s="6" t="str">
        <f>IFERROR(VLOOKUP(C287,Products!$A$2:$G$204,2,FALSE),"")</f>
        <v/>
      </c>
      <c r="E287" s="15"/>
      <c r="F287" s="7">
        <f>IFERROR(VLOOKUP(C287,Products!$A$2:$G$204,6,FALSE),0)</f>
        <v>0</v>
      </c>
      <c r="G287" s="7"/>
      <c r="H287" s="7"/>
      <c r="I287" s="7">
        <f>IF(OR(E287="",F287=""),0,MAX(0,(E287*F287-G287+H287)*IFERROR(VLOOKUP(C287,Products!$A$2:$G$204,7,FALSE),0)))</f>
        <v>0</v>
      </c>
      <c r="J287" s="7"/>
      <c r="K287" s="7">
        <f>IF(OR(E287="",F287=""),0,E287*F287)</f>
        <v>0</v>
      </c>
      <c r="L287" s="7">
        <f>IF(E287="",0,K287-G287+H287-I287-J287)</f>
        <v>0</v>
      </c>
      <c r="M287" s="7">
        <f>IFERROR(E287*VLOOKUP(C287,Products!$A$2:$G$204,4,FALSE),0)</f>
        <v>0</v>
      </c>
      <c r="N287" s="7">
        <f>IFERROR(E287*VLOOKUP(C287,Products!$A$2:$G$204,5,FALSE),0)</f>
        <v>0</v>
      </c>
      <c r="O287" s="7">
        <f>IF(E287="",0,L287-M287-N287)</f>
        <v>0</v>
      </c>
      <c r="P287" s="6"/>
      <c r="Q287" s="6"/>
    </row>
    <row r="288" spans="1:17" x14ac:dyDescent="0.2">
      <c r="A288" s="12"/>
      <c r="B288" s="9"/>
      <c r="C288" s="9"/>
      <c r="D288" s="9" t="str">
        <f>IFERROR(VLOOKUP(C288,Products!$A$2:$G$204,2,FALSE),"")</f>
        <v/>
      </c>
      <c r="E288" s="13"/>
      <c r="F288" s="10">
        <f>IFERROR(VLOOKUP(C288,Products!$A$2:$G$204,6,FALSE),0)</f>
        <v>0</v>
      </c>
      <c r="G288" s="10"/>
      <c r="H288" s="10"/>
      <c r="I288" s="10">
        <f>IF(OR(E288="",F288=""),0,MAX(0,(E288*F288-G288+H288)*IFERROR(VLOOKUP(C288,Products!$A$2:$G$204,7,FALSE),0)))</f>
        <v>0</v>
      </c>
      <c r="J288" s="10"/>
      <c r="K288" s="10">
        <f>IF(OR(E288="",F288=""),0,E288*F288)</f>
        <v>0</v>
      </c>
      <c r="L288" s="10">
        <f>IF(E288="",0,K288-G288+H288-I288-J288)</f>
        <v>0</v>
      </c>
      <c r="M288" s="10">
        <f>IFERROR(E288*VLOOKUP(C288,Products!$A$2:$G$204,4,FALSE),0)</f>
        <v>0</v>
      </c>
      <c r="N288" s="10">
        <f>IFERROR(E288*VLOOKUP(C288,Products!$A$2:$G$204,5,FALSE),0)</f>
        <v>0</v>
      </c>
      <c r="O288" s="10">
        <f>IF(E288="",0,L288-M288-N288)</f>
        <v>0</v>
      </c>
      <c r="P288" s="9"/>
      <c r="Q288" s="9"/>
    </row>
    <row r="289" spans="1:17" x14ac:dyDescent="0.2">
      <c r="A289" s="14"/>
      <c r="B289" s="6"/>
      <c r="C289" s="6"/>
      <c r="D289" s="6" t="str">
        <f>IFERROR(VLOOKUP(C289,Products!$A$2:$G$204,2,FALSE),"")</f>
        <v/>
      </c>
      <c r="E289" s="15"/>
      <c r="F289" s="7">
        <f>IFERROR(VLOOKUP(C289,Products!$A$2:$G$204,6,FALSE),0)</f>
        <v>0</v>
      </c>
      <c r="G289" s="7"/>
      <c r="H289" s="7"/>
      <c r="I289" s="7">
        <f>IF(OR(E289="",F289=""),0,MAX(0,(E289*F289-G289+H289)*IFERROR(VLOOKUP(C289,Products!$A$2:$G$204,7,FALSE),0)))</f>
        <v>0</v>
      </c>
      <c r="J289" s="7"/>
      <c r="K289" s="7">
        <f>IF(OR(E289="",F289=""),0,E289*F289)</f>
        <v>0</v>
      </c>
      <c r="L289" s="7">
        <f>IF(E289="",0,K289-G289+H289-I289-J289)</f>
        <v>0</v>
      </c>
      <c r="M289" s="7">
        <f>IFERROR(E289*VLOOKUP(C289,Products!$A$2:$G$204,4,FALSE),0)</f>
        <v>0</v>
      </c>
      <c r="N289" s="7">
        <f>IFERROR(E289*VLOOKUP(C289,Products!$A$2:$G$204,5,FALSE),0)</f>
        <v>0</v>
      </c>
      <c r="O289" s="7">
        <f>IF(E289="",0,L289-M289-N289)</f>
        <v>0</v>
      </c>
      <c r="P289" s="6"/>
      <c r="Q289" s="6"/>
    </row>
    <row r="290" spans="1:17" x14ac:dyDescent="0.2">
      <c r="A290" s="12"/>
      <c r="B290" s="9"/>
      <c r="C290" s="9"/>
      <c r="D290" s="9" t="str">
        <f>IFERROR(VLOOKUP(C290,Products!$A$2:$G$204,2,FALSE),"")</f>
        <v/>
      </c>
      <c r="E290" s="13"/>
      <c r="F290" s="10">
        <f>IFERROR(VLOOKUP(C290,Products!$A$2:$G$204,6,FALSE),0)</f>
        <v>0</v>
      </c>
      <c r="G290" s="10"/>
      <c r="H290" s="10"/>
      <c r="I290" s="10">
        <f>IF(OR(E290="",F290=""),0,MAX(0,(E290*F290-G290+H290)*IFERROR(VLOOKUP(C290,Products!$A$2:$G$204,7,FALSE),0)))</f>
        <v>0</v>
      </c>
      <c r="J290" s="10"/>
      <c r="K290" s="10">
        <f>IF(OR(E290="",F290=""),0,E290*F290)</f>
        <v>0</v>
      </c>
      <c r="L290" s="10">
        <f>IF(E290="",0,K290-G290+H290-I290-J290)</f>
        <v>0</v>
      </c>
      <c r="M290" s="10">
        <f>IFERROR(E290*VLOOKUP(C290,Products!$A$2:$G$204,4,FALSE),0)</f>
        <v>0</v>
      </c>
      <c r="N290" s="10">
        <f>IFERROR(E290*VLOOKUP(C290,Products!$A$2:$G$204,5,FALSE),0)</f>
        <v>0</v>
      </c>
      <c r="O290" s="10">
        <f>IF(E290="",0,L290-M290-N290)</f>
        <v>0</v>
      </c>
      <c r="P290" s="9"/>
      <c r="Q290" s="9"/>
    </row>
    <row r="291" spans="1:17" x14ac:dyDescent="0.2">
      <c r="A291" s="14"/>
      <c r="B291" s="6"/>
      <c r="C291" s="6"/>
      <c r="D291" s="6" t="str">
        <f>IFERROR(VLOOKUP(C291,Products!$A$2:$G$204,2,FALSE),"")</f>
        <v/>
      </c>
      <c r="E291" s="15"/>
      <c r="F291" s="7">
        <f>IFERROR(VLOOKUP(C291,Products!$A$2:$G$204,6,FALSE),0)</f>
        <v>0</v>
      </c>
      <c r="G291" s="7"/>
      <c r="H291" s="7"/>
      <c r="I291" s="7">
        <f>IF(OR(E291="",F291=""),0,MAX(0,(E291*F291-G291+H291)*IFERROR(VLOOKUP(C291,Products!$A$2:$G$204,7,FALSE),0)))</f>
        <v>0</v>
      </c>
      <c r="J291" s="7"/>
      <c r="K291" s="7">
        <f>IF(OR(E291="",F291=""),0,E291*F291)</f>
        <v>0</v>
      </c>
      <c r="L291" s="7">
        <f>IF(E291="",0,K291-G291+H291-I291-J291)</f>
        <v>0</v>
      </c>
      <c r="M291" s="7">
        <f>IFERROR(E291*VLOOKUP(C291,Products!$A$2:$G$204,4,FALSE),0)</f>
        <v>0</v>
      </c>
      <c r="N291" s="7">
        <f>IFERROR(E291*VLOOKUP(C291,Products!$A$2:$G$204,5,FALSE),0)</f>
        <v>0</v>
      </c>
      <c r="O291" s="7">
        <f>IF(E291="",0,L291-M291-N291)</f>
        <v>0</v>
      </c>
      <c r="P291" s="6"/>
      <c r="Q291" s="6"/>
    </row>
    <row r="292" spans="1:17" x14ac:dyDescent="0.2">
      <c r="A292" s="12"/>
      <c r="B292" s="9"/>
      <c r="C292" s="9"/>
      <c r="D292" s="9" t="str">
        <f>IFERROR(VLOOKUP(C292,Products!$A$2:$G$204,2,FALSE),"")</f>
        <v/>
      </c>
      <c r="E292" s="13"/>
      <c r="F292" s="10">
        <f>IFERROR(VLOOKUP(C292,Products!$A$2:$G$204,6,FALSE),0)</f>
        <v>0</v>
      </c>
      <c r="G292" s="10"/>
      <c r="H292" s="10"/>
      <c r="I292" s="10">
        <f>IF(OR(E292="",F292=""),0,MAX(0,(E292*F292-G292+H292)*IFERROR(VLOOKUP(C292,Products!$A$2:$G$204,7,FALSE),0)))</f>
        <v>0</v>
      </c>
      <c r="J292" s="10"/>
      <c r="K292" s="10">
        <f>IF(OR(E292="",F292=""),0,E292*F292)</f>
        <v>0</v>
      </c>
      <c r="L292" s="10">
        <f>IF(E292="",0,K292-G292+H292-I292-J292)</f>
        <v>0</v>
      </c>
      <c r="M292" s="10">
        <f>IFERROR(E292*VLOOKUP(C292,Products!$A$2:$G$204,4,FALSE),0)</f>
        <v>0</v>
      </c>
      <c r="N292" s="10">
        <f>IFERROR(E292*VLOOKUP(C292,Products!$A$2:$G$204,5,FALSE),0)</f>
        <v>0</v>
      </c>
      <c r="O292" s="10">
        <f>IF(E292="",0,L292-M292-N292)</f>
        <v>0</v>
      </c>
      <c r="P292" s="9"/>
      <c r="Q292" s="9"/>
    </row>
    <row r="293" spans="1:17" x14ac:dyDescent="0.2">
      <c r="A293" s="14"/>
      <c r="B293" s="6"/>
      <c r="C293" s="6"/>
      <c r="D293" s="6" t="str">
        <f>IFERROR(VLOOKUP(C293,Products!$A$2:$G$204,2,FALSE),"")</f>
        <v/>
      </c>
      <c r="E293" s="15"/>
      <c r="F293" s="7">
        <f>IFERROR(VLOOKUP(C293,Products!$A$2:$G$204,6,FALSE),0)</f>
        <v>0</v>
      </c>
      <c r="G293" s="7"/>
      <c r="H293" s="7"/>
      <c r="I293" s="7">
        <f>IF(OR(E293="",F293=""),0,MAX(0,(E293*F293-G293+H293)*IFERROR(VLOOKUP(C293,Products!$A$2:$G$204,7,FALSE),0)))</f>
        <v>0</v>
      </c>
      <c r="J293" s="7"/>
      <c r="K293" s="7">
        <f>IF(OR(E293="",F293=""),0,E293*F293)</f>
        <v>0</v>
      </c>
      <c r="L293" s="7">
        <f>IF(E293="",0,K293-G293+H293-I293-J293)</f>
        <v>0</v>
      </c>
      <c r="M293" s="7">
        <f>IFERROR(E293*VLOOKUP(C293,Products!$A$2:$G$204,4,FALSE),0)</f>
        <v>0</v>
      </c>
      <c r="N293" s="7">
        <f>IFERROR(E293*VLOOKUP(C293,Products!$A$2:$G$204,5,FALSE),0)</f>
        <v>0</v>
      </c>
      <c r="O293" s="7">
        <f>IF(E293="",0,L293-M293-N293)</f>
        <v>0</v>
      </c>
      <c r="P293" s="6"/>
      <c r="Q293" s="6"/>
    </row>
    <row r="294" spans="1:17" x14ac:dyDescent="0.2">
      <c r="A294" s="12"/>
      <c r="B294" s="9"/>
      <c r="C294" s="9"/>
      <c r="D294" s="9" t="str">
        <f>IFERROR(VLOOKUP(C294,Products!$A$2:$G$204,2,FALSE),"")</f>
        <v/>
      </c>
      <c r="E294" s="13"/>
      <c r="F294" s="10">
        <f>IFERROR(VLOOKUP(C294,Products!$A$2:$G$204,6,FALSE),0)</f>
        <v>0</v>
      </c>
      <c r="G294" s="10"/>
      <c r="H294" s="10"/>
      <c r="I294" s="10">
        <f>IF(OR(E294="",F294=""),0,MAX(0,(E294*F294-G294+H294)*IFERROR(VLOOKUP(C294,Products!$A$2:$G$204,7,FALSE),0)))</f>
        <v>0</v>
      </c>
      <c r="J294" s="10"/>
      <c r="K294" s="10">
        <f>IF(OR(E294="",F294=""),0,E294*F294)</f>
        <v>0</v>
      </c>
      <c r="L294" s="10">
        <f>IF(E294="",0,K294-G294+H294-I294-J294)</f>
        <v>0</v>
      </c>
      <c r="M294" s="10">
        <f>IFERROR(E294*VLOOKUP(C294,Products!$A$2:$G$204,4,FALSE),0)</f>
        <v>0</v>
      </c>
      <c r="N294" s="10">
        <f>IFERROR(E294*VLOOKUP(C294,Products!$A$2:$G$204,5,FALSE),0)</f>
        <v>0</v>
      </c>
      <c r="O294" s="10">
        <f>IF(E294="",0,L294-M294-N294)</f>
        <v>0</v>
      </c>
      <c r="P294" s="9"/>
      <c r="Q294" s="9"/>
    </row>
    <row r="295" spans="1:17" x14ac:dyDescent="0.2">
      <c r="A295" s="14"/>
      <c r="B295" s="6"/>
      <c r="C295" s="6"/>
      <c r="D295" s="6" t="str">
        <f>IFERROR(VLOOKUP(C295,Products!$A$2:$G$204,2,FALSE),"")</f>
        <v/>
      </c>
      <c r="E295" s="15"/>
      <c r="F295" s="7">
        <f>IFERROR(VLOOKUP(C295,Products!$A$2:$G$204,6,FALSE),0)</f>
        <v>0</v>
      </c>
      <c r="G295" s="7"/>
      <c r="H295" s="7"/>
      <c r="I295" s="7">
        <f>IF(OR(E295="",F295=""),0,MAX(0,(E295*F295-G295+H295)*IFERROR(VLOOKUP(C295,Products!$A$2:$G$204,7,FALSE),0)))</f>
        <v>0</v>
      </c>
      <c r="J295" s="7"/>
      <c r="K295" s="7">
        <f>IF(OR(E295="",F295=""),0,E295*F295)</f>
        <v>0</v>
      </c>
      <c r="L295" s="7">
        <f>IF(E295="",0,K295-G295+H295-I295-J295)</f>
        <v>0</v>
      </c>
      <c r="M295" s="7">
        <f>IFERROR(E295*VLOOKUP(C295,Products!$A$2:$G$204,4,FALSE),0)</f>
        <v>0</v>
      </c>
      <c r="N295" s="7">
        <f>IFERROR(E295*VLOOKUP(C295,Products!$A$2:$G$204,5,FALSE),0)</f>
        <v>0</v>
      </c>
      <c r="O295" s="7">
        <f>IF(E295="",0,L295-M295-N295)</f>
        <v>0</v>
      </c>
      <c r="P295" s="6"/>
      <c r="Q295" s="6"/>
    </row>
    <row r="296" spans="1:17" x14ac:dyDescent="0.2">
      <c r="A296" s="12"/>
      <c r="B296" s="9"/>
      <c r="C296" s="9"/>
      <c r="D296" s="9" t="str">
        <f>IFERROR(VLOOKUP(C296,Products!$A$2:$G$204,2,FALSE),"")</f>
        <v/>
      </c>
      <c r="E296" s="13"/>
      <c r="F296" s="10">
        <f>IFERROR(VLOOKUP(C296,Products!$A$2:$G$204,6,FALSE),0)</f>
        <v>0</v>
      </c>
      <c r="G296" s="10"/>
      <c r="H296" s="10"/>
      <c r="I296" s="10">
        <f>IF(OR(E296="",F296=""),0,MAX(0,(E296*F296-G296+H296)*IFERROR(VLOOKUP(C296,Products!$A$2:$G$204,7,FALSE),0)))</f>
        <v>0</v>
      </c>
      <c r="J296" s="10"/>
      <c r="K296" s="10">
        <f>IF(OR(E296="",F296=""),0,E296*F296)</f>
        <v>0</v>
      </c>
      <c r="L296" s="10">
        <f>IF(E296="",0,K296-G296+H296-I296-J296)</f>
        <v>0</v>
      </c>
      <c r="M296" s="10">
        <f>IFERROR(E296*VLOOKUP(C296,Products!$A$2:$G$204,4,FALSE),0)</f>
        <v>0</v>
      </c>
      <c r="N296" s="10">
        <f>IFERROR(E296*VLOOKUP(C296,Products!$A$2:$G$204,5,FALSE),0)</f>
        <v>0</v>
      </c>
      <c r="O296" s="10">
        <f>IF(E296="",0,L296-M296-N296)</f>
        <v>0</v>
      </c>
      <c r="P296" s="9"/>
      <c r="Q296" s="9"/>
    </row>
    <row r="297" spans="1:17" x14ac:dyDescent="0.2">
      <c r="A297" s="14"/>
      <c r="B297" s="6"/>
      <c r="C297" s="6"/>
      <c r="D297" s="6" t="str">
        <f>IFERROR(VLOOKUP(C297,Products!$A$2:$G$204,2,FALSE),"")</f>
        <v/>
      </c>
      <c r="E297" s="15"/>
      <c r="F297" s="7">
        <f>IFERROR(VLOOKUP(C297,Products!$A$2:$G$204,6,FALSE),0)</f>
        <v>0</v>
      </c>
      <c r="G297" s="7"/>
      <c r="H297" s="7"/>
      <c r="I297" s="7">
        <f>IF(OR(E297="",F297=""),0,MAX(0,(E297*F297-G297+H297)*IFERROR(VLOOKUP(C297,Products!$A$2:$G$204,7,FALSE),0)))</f>
        <v>0</v>
      </c>
      <c r="J297" s="7"/>
      <c r="K297" s="7">
        <f>IF(OR(E297="",F297=""),0,E297*F297)</f>
        <v>0</v>
      </c>
      <c r="L297" s="7">
        <f>IF(E297="",0,K297-G297+H297-I297-J297)</f>
        <v>0</v>
      </c>
      <c r="M297" s="7">
        <f>IFERROR(E297*VLOOKUP(C297,Products!$A$2:$G$204,4,FALSE),0)</f>
        <v>0</v>
      </c>
      <c r="N297" s="7">
        <f>IFERROR(E297*VLOOKUP(C297,Products!$A$2:$G$204,5,FALSE),0)</f>
        <v>0</v>
      </c>
      <c r="O297" s="7">
        <f>IF(E297="",0,L297-M297-N297)</f>
        <v>0</v>
      </c>
      <c r="P297" s="6"/>
      <c r="Q297" s="6"/>
    </row>
    <row r="298" spans="1:17" x14ac:dyDescent="0.2">
      <c r="A298" s="12"/>
      <c r="B298" s="9"/>
      <c r="C298" s="9"/>
      <c r="D298" s="9" t="str">
        <f>IFERROR(VLOOKUP(C298,Products!$A$2:$G$204,2,FALSE),"")</f>
        <v/>
      </c>
      <c r="E298" s="13"/>
      <c r="F298" s="10">
        <f>IFERROR(VLOOKUP(C298,Products!$A$2:$G$204,6,FALSE),0)</f>
        <v>0</v>
      </c>
      <c r="G298" s="10"/>
      <c r="H298" s="10"/>
      <c r="I298" s="10">
        <f>IF(OR(E298="",F298=""),0,MAX(0,(E298*F298-G298+H298)*IFERROR(VLOOKUP(C298,Products!$A$2:$G$204,7,FALSE),0)))</f>
        <v>0</v>
      </c>
      <c r="J298" s="10"/>
      <c r="K298" s="10">
        <f>IF(OR(E298="",F298=""),0,E298*F298)</f>
        <v>0</v>
      </c>
      <c r="L298" s="10">
        <f>IF(E298="",0,K298-G298+H298-I298-J298)</f>
        <v>0</v>
      </c>
      <c r="M298" s="10">
        <f>IFERROR(E298*VLOOKUP(C298,Products!$A$2:$G$204,4,FALSE),0)</f>
        <v>0</v>
      </c>
      <c r="N298" s="10">
        <f>IFERROR(E298*VLOOKUP(C298,Products!$A$2:$G$204,5,FALSE),0)</f>
        <v>0</v>
      </c>
      <c r="O298" s="10">
        <f>IF(E298="",0,L298-M298-N298)</f>
        <v>0</v>
      </c>
      <c r="P298" s="9"/>
      <c r="Q298" s="9"/>
    </row>
    <row r="299" spans="1:17" x14ac:dyDescent="0.2">
      <c r="A299" s="14"/>
      <c r="B299" s="6"/>
      <c r="C299" s="6"/>
      <c r="D299" s="6" t="str">
        <f>IFERROR(VLOOKUP(C299,Products!$A$2:$G$204,2,FALSE),"")</f>
        <v/>
      </c>
      <c r="E299" s="15"/>
      <c r="F299" s="7">
        <f>IFERROR(VLOOKUP(C299,Products!$A$2:$G$204,6,FALSE),0)</f>
        <v>0</v>
      </c>
      <c r="G299" s="7"/>
      <c r="H299" s="7"/>
      <c r="I299" s="7">
        <f>IF(OR(E299="",F299=""),0,MAX(0,(E299*F299-G299+H299)*IFERROR(VLOOKUP(C299,Products!$A$2:$G$204,7,FALSE),0)))</f>
        <v>0</v>
      </c>
      <c r="J299" s="7"/>
      <c r="K299" s="7">
        <f>IF(OR(E299="",F299=""),0,E299*F299)</f>
        <v>0</v>
      </c>
      <c r="L299" s="7">
        <f>IF(E299="",0,K299-G299+H299-I299-J299)</f>
        <v>0</v>
      </c>
      <c r="M299" s="7">
        <f>IFERROR(E299*VLOOKUP(C299,Products!$A$2:$G$204,4,FALSE),0)</f>
        <v>0</v>
      </c>
      <c r="N299" s="7">
        <f>IFERROR(E299*VLOOKUP(C299,Products!$A$2:$G$204,5,FALSE),0)</f>
        <v>0</v>
      </c>
      <c r="O299" s="7">
        <f>IF(E299="",0,L299-M299-N299)</f>
        <v>0</v>
      </c>
      <c r="P299" s="6"/>
      <c r="Q299" s="6"/>
    </row>
    <row r="300" spans="1:17" x14ac:dyDescent="0.2">
      <c r="A300" s="12"/>
      <c r="B300" s="9"/>
      <c r="C300" s="9"/>
      <c r="D300" s="9" t="str">
        <f>IFERROR(VLOOKUP(C300,Products!$A$2:$G$204,2,FALSE),"")</f>
        <v/>
      </c>
      <c r="E300" s="13"/>
      <c r="F300" s="10">
        <f>IFERROR(VLOOKUP(C300,Products!$A$2:$G$204,6,FALSE),0)</f>
        <v>0</v>
      </c>
      <c r="G300" s="10"/>
      <c r="H300" s="10"/>
      <c r="I300" s="10">
        <f>IF(OR(E300="",F300=""),0,MAX(0,(E300*F300-G300+H300)*IFERROR(VLOOKUP(C300,Products!$A$2:$G$204,7,FALSE),0)))</f>
        <v>0</v>
      </c>
      <c r="J300" s="10"/>
      <c r="K300" s="10">
        <f>IF(OR(E300="",F300=""),0,E300*F300)</f>
        <v>0</v>
      </c>
      <c r="L300" s="10">
        <f>IF(E300="",0,K300-G300+H300-I300-J300)</f>
        <v>0</v>
      </c>
      <c r="M300" s="10">
        <f>IFERROR(E300*VLOOKUP(C300,Products!$A$2:$G$204,4,FALSE),0)</f>
        <v>0</v>
      </c>
      <c r="N300" s="10">
        <f>IFERROR(E300*VLOOKUP(C300,Products!$A$2:$G$204,5,FALSE),0)</f>
        <v>0</v>
      </c>
      <c r="O300" s="10">
        <f>IF(E300="",0,L300-M300-N300)</f>
        <v>0</v>
      </c>
      <c r="P300" s="9"/>
      <c r="Q300" s="9"/>
    </row>
    <row r="301" spans="1:17" x14ac:dyDescent="0.2">
      <c r="A301" s="14"/>
      <c r="B301" s="6"/>
      <c r="C301" s="6"/>
      <c r="D301" s="6" t="str">
        <f>IFERROR(VLOOKUP(C301,Products!$A$2:$G$204,2,FALSE),"")</f>
        <v/>
      </c>
      <c r="E301" s="15"/>
      <c r="F301" s="7">
        <f>IFERROR(VLOOKUP(C301,Products!$A$2:$G$204,6,FALSE),0)</f>
        <v>0</v>
      </c>
      <c r="G301" s="7"/>
      <c r="H301" s="7"/>
      <c r="I301" s="7">
        <f>IF(OR(E301="",F301=""),0,MAX(0,(E301*F301-G301+H301)*IFERROR(VLOOKUP(C301,Products!$A$2:$G$204,7,FALSE),0)))</f>
        <v>0</v>
      </c>
      <c r="J301" s="7"/>
      <c r="K301" s="7">
        <f>IF(OR(E301="",F301=""),0,E301*F301)</f>
        <v>0</v>
      </c>
      <c r="L301" s="7">
        <f>IF(E301="",0,K301-G301+H301-I301-J301)</f>
        <v>0</v>
      </c>
      <c r="M301" s="7">
        <f>IFERROR(E301*VLOOKUP(C301,Products!$A$2:$G$204,4,FALSE),0)</f>
        <v>0</v>
      </c>
      <c r="N301" s="7">
        <f>IFERROR(E301*VLOOKUP(C301,Products!$A$2:$G$204,5,FALSE),0)</f>
        <v>0</v>
      </c>
      <c r="O301" s="7">
        <f>IF(E301="",0,L301-M301-N301)</f>
        <v>0</v>
      </c>
      <c r="P301" s="6"/>
      <c r="Q301" s="6"/>
    </row>
    <row r="302" spans="1:17" x14ac:dyDescent="0.2">
      <c r="A302" s="12"/>
      <c r="B302" s="9"/>
      <c r="C302" s="9"/>
      <c r="D302" s="9" t="str">
        <f>IFERROR(VLOOKUP(C302,Products!$A$2:$G$204,2,FALSE),"")</f>
        <v/>
      </c>
      <c r="E302" s="13"/>
      <c r="F302" s="10">
        <f>IFERROR(VLOOKUP(C302,Products!$A$2:$G$204,6,FALSE),0)</f>
        <v>0</v>
      </c>
      <c r="G302" s="10"/>
      <c r="H302" s="10"/>
      <c r="I302" s="10">
        <f>IF(OR(E302="",F302=""),0,MAX(0,(E302*F302-G302+H302)*IFERROR(VLOOKUP(C302,Products!$A$2:$G$204,7,FALSE),0)))</f>
        <v>0</v>
      </c>
      <c r="J302" s="10"/>
      <c r="K302" s="10">
        <f>IF(OR(E302="",F302=""),0,E302*F302)</f>
        <v>0</v>
      </c>
      <c r="L302" s="10">
        <f>IF(E302="",0,K302-G302+H302-I302-J302)</f>
        <v>0</v>
      </c>
      <c r="M302" s="10">
        <f>IFERROR(E302*VLOOKUP(C302,Products!$A$2:$G$204,4,FALSE),0)</f>
        <v>0</v>
      </c>
      <c r="N302" s="10">
        <f>IFERROR(E302*VLOOKUP(C302,Products!$A$2:$G$204,5,FALSE),0)</f>
        <v>0</v>
      </c>
      <c r="O302" s="10">
        <f>IF(E302="",0,L302-M302-N302)</f>
        <v>0</v>
      </c>
      <c r="P302" s="9"/>
      <c r="Q302" s="9"/>
    </row>
    <row r="303" spans="1:17" x14ac:dyDescent="0.2">
      <c r="A303" s="14"/>
      <c r="B303" s="6"/>
      <c r="C303" s="6"/>
      <c r="D303" s="6" t="str">
        <f>IFERROR(VLOOKUP(C303,Products!$A$2:$G$204,2,FALSE),"")</f>
        <v/>
      </c>
      <c r="E303" s="15"/>
      <c r="F303" s="7">
        <f>IFERROR(VLOOKUP(C303,Products!$A$2:$G$204,6,FALSE),0)</f>
        <v>0</v>
      </c>
      <c r="G303" s="7"/>
      <c r="H303" s="7"/>
      <c r="I303" s="7">
        <f>IF(OR(E303="",F303=""),0,MAX(0,(E303*F303-G303+H303)*IFERROR(VLOOKUP(C303,Products!$A$2:$G$204,7,FALSE),0)))</f>
        <v>0</v>
      </c>
      <c r="J303" s="7"/>
      <c r="K303" s="7">
        <f>IF(OR(E303="",F303=""),0,E303*F303)</f>
        <v>0</v>
      </c>
      <c r="L303" s="7">
        <f>IF(E303="",0,K303-G303+H303-I303-J303)</f>
        <v>0</v>
      </c>
      <c r="M303" s="7">
        <f>IFERROR(E303*VLOOKUP(C303,Products!$A$2:$G$204,4,FALSE),0)</f>
        <v>0</v>
      </c>
      <c r="N303" s="7">
        <f>IFERROR(E303*VLOOKUP(C303,Products!$A$2:$G$204,5,FALSE),0)</f>
        <v>0</v>
      </c>
      <c r="O303" s="7">
        <f>IF(E303="",0,L303-M303-N303)</f>
        <v>0</v>
      </c>
      <c r="P303" s="6"/>
      <c r="Q303" s="6"/>
    </row>
    <row r="304" spans="1:17" x14ac:dyDescent="0.2">
      <c r="A304" s="12"/>
      <c r="B304" s="9"/>
      <c r="C304" s="9"/>
      <c r="D304" s="9" t="str">
        <f>IFERROR(VLOOKUP(C304,Products!$A$2:$G$204,2,FALSE),"")</f>
        <v/>
      </c>
      <c r="E304" s="13"/>
      <c r="F304" s="10">
        <f>IFERROR(VLOOKUP(C304,Products!$A$2:$G$204,6,FALSE),0)</f>
        <v>0</v>
      </c>
      <c r="G304" s="10"/>
      <c r="H304" s="10"/>
      <c r="I304" s="10">
        <f>IF(OR(E304="",F304=""),0,MAX(0,(E304*F304-G304+H304)*IFERROR(VLOOKUP(C304,Products!$A$2:$G$204,7,FALSE),0)))</f>
        <v>0</v>
      </c>
      <c r="J304" s="10"/>
      <c r="K304" s="10">
        <f>IF(OR(E304="",F304=""),0,E304*F304)</f>
        <v>0</v>
      </c>
      <c r="L304" s="10">
        <f>IF(E304="",0,K304-G304+H304-I304-J304)</f>
        <v>0</v>
      </c>
      <c r="M304" s="10">
        <f>IFERROR(E304*VLOOKUP(C304,Products!$A$2:$G$204,4,FALSE),0)</f>
        <v>0</v>
      </c>
      <c r="N304" s="10">
        <f>IFERROR(E304*VLOOKUP(C304,Products!$A$2:$G$204,5,FALSE),0)</f>
        <v>0</v>
      </c>
      <c r="O304" s="10">
        <f>IF(E304="",0,L304-M304-N304)</f>
        <v>0</v>
      </c>
      <c r="P304" s="9"/>
      <c r="Q304" s="9"/>
    </row>
    <row r="305" spans="1:17" x14ac:dyDescent="0.2">
      <c r="A305" s="14"/>
      <c r="B305" s="6"/>
      <c r="C305" s="6"/>
      <c r="D305" s="6" t="str">
        <f>IFERROR(VLOOKUP(C305,Products!$A$2:$G$204,2,FALSE),"")</f>
        <v/>
      </c>
      <c r="E305" s="15"/>
      <c r="F305" s="7">
        <f>IFERROR(VLOOKUP(C305,Products!$A$2:$G$204,6,FALSE),0)</f>
        <v>0</v>
      </c>
      <c r="G305" s="7"/>
      <c r="H305" s="7"/>
      <c r="I305" s="7">
        <f>IF(OR(E305="",F305=""),0,MAX(0,(E305*F305-G305+H305)*IFERROR(VLOOKUP(C305,Products!$A$2:$G$204,7,FALSE),0)))</f>
        <v>0</v>
      </c>
      <c r="J305" s="7"/>
      <c r="K305" s="7">
        <f>IF(OR(E305="",F305=""),0,E305*F305)</f>
        <v>0</v>
      </c>
      <c r="L305" s="7">
        <f>IF(E305="",0,K305-G305+H305-I305-J305)</f>
        <v>0</v>
      </c>
      <c r="M305" s="7">
        <f>IFERROR(E305*VLOOKUP(C305,Products!$A$2:$G$204,4,FALSE),0)</f>
        <v>0</v>
      </c>
      <c r="N305" s="7">
        <f>IFERROR(E305*VLOOKUP(C305,Products!$A$2:$G$204,5,FALSE),0)</f>
        <v>0</v>
      </c>
      <c r="O305" s="7">
        <f>IF(E305="",0,L305-M305-N305)</f>
        <v>0</v>
      </c>
      <c r="P305" s="6"/>
      <c r="Q305" s="6"/>
    </row>
    <row r="306" spans="1:17" x14ac:dyDescent="0.2">
      <c r="A306" s="12"/>
      <c r="B306" s="9"/>
      <c r="C306" s="9"/>
      <c r="D306" s="9" t="str">
        <f>IFERROR(VLOOKUP(C306,Products!$A$2:$G$204,2,FALSE),"")</f>
        <v/>
      </c>
      <c r="E306" s="13"/>
      <c r="F306" s="10">
        <f>IFERROR(VLOOKUP(C306,Products!$A$2:$G$204,6,FALSE),0)</f>
        <v>0</v>
      </c>
      <c r="G306" s="10"/>
      <c r="H306" s="10"/>
      <c r="I306" s="10">
        <f>IF(OR(E306="",F306=""),0,MAX(0,(E306*F306-G306+H306)*IFERROR(VLOOKUP(C306,Products!$A$2:$G$204,7,FALSE),0)))</f>
        <v>0</v>
      </c>
      <c r="J306" s="10"/>
      <c r="K306" s="10">
        <f>IF(OR(E306="",F306=""),0,E306*F306)</f>
        <v>0</v>
      </c>
      <c r="L306" s="10">
        <f>IF(E306="",0,K306-G306+H306-I306-J306)</f>
        <v>0</v>
      </c>
      <c r="M306" s="10">
        <f>IFERROR(E306*VLOOKUP(C306,Products!$A$2:$G$204,4,FALSE),0)</f>
        <v>0</v>
      </c>
      <c r="N306" s="10">
        <f>IFERROR(E306*VLOOKUP(C306,Products!$A$2:$G$204,5,FALSE),0)</f>
        <v>0</v>
      </c>
      <c r="O306" s="10">
        <f>IF(E306="",0,L306-M306-N306)</f>
        <v>0</v>
      </c>
      <c r="P306" s="9"/>
      <c r="Q306" s="9"/>
    </row>
    <row r="307" spans="1:17" x14ac:dyDescent="0.2">
      <c r="A307" s="14"/>
      <c r="B307" s="6"/>
      <c r="C307" s="6"/>
      <c r="D307" s="6" t="str">
        <f>IFERROR(VLOOKUP(C307,Products!$A$2:$G$204,2,FALSE),"")</f>
        <v/>
      </c>
      <c r="E307" s="15"/>
      <c r="F307" s="7">
        <f>IFERROR(VLOOKUP(C307,Products!$A$2:$G$204,6,FALSE),0)</f>
        <v>0</v>
      </c>
      <c r="G307" s="7"/>
      <c r="H307" s="7"/>
      <c r="I307" s="7">
        <f>IF(OR(E307="",F307=""),0,MAX(0,(E307*F307-G307+H307)*IFERROR(VLOOKUP(C307,Products!$A$2:$G$204,7,FALSE),0)))</f>
        <v>0</v>
      </c>
      <c r="J307" s="7"/>
      <c r="K307" s="7">
        <f>IF(OR(E307="",F307=""),0,E307*F307)</f>
        <v>0</v>
      </c>
      <c r="L307" s="7">
        <f>IF(E307="",0,K307-G307+H307-I307-J307)</f>
        <v>0</v>
      </c>
      <c r="M307" s="7">
        <f>IFERROR(E307*VLOOKUP(C307,Products!$A$2:$G$204,4,FALSE),0)</f>
        <v>0</v>
      </c>
      <c r="N307" s="7">
        <f>IFERROR(E307*VLOOKUP(C307,Products!$A$2:$G$204,5,FALSE),0)</f>
        <v>0</v>
      </c>
      <c r="O307" s="7">
        <f>IF(E307="",0,L307-M307-N307)</f>
        <v>0</v>
      </c>
      <c r="P307" s="6"/>
      <c r="Q307" s="6"/>
    </row>
    <row r="308" spans="1:17" x14ac:dyDescent="0.2">
      <c r="A308" s="12"/>
      <c r="B308" s="9"/>
      <c r="C308" s="9"/>
      <c r="D308" s="9" t="str">
        <f>IFERROR(VLOOKUP(C308,Products!$A$2:$G$204,2,FALSE),"")</f>
        <v/>
      </c>
      <c r="E308" s="13"/>
      <c r="F308" s="10">
        <f>IFERROR(VLOOKUP(C308,Products!$A$2:$G$204,6,FALSE),0)</f>
        <v>0</v>
      </c>
      <c r="G308" s="10"/>
      <c r="H308" s="10"/>
      <c r="I308" s="10">
        <f>IF(OR(E308="",F308=""),0,MAX(0,(E308*F308-G308+H308)*IFERROR(VLOOKUP(C308,Products!$A$2:$G$204,7,FALSE),0)))</f>
        <v>0</v>
      </c>
      <c r="J308" s="10"/>
      <c r="K308" s="10">
        <f>IF(OR(E308="",F308=""),0,E308*F308)</f>
        <v>0</v>
      </c>
      <c r="L308" s="10">
        <f>IF(E308="",0,K308-G308+H308-I308-J308)</f>
        <v>0</v>
      </c>
      <c r="M308" s="10">
        <f>IFERROR(E308*VLOOKUP(C308,Products!$A$2:$G$204,4,FALSE),0)</f>
        <v>0</v>
      </c>
      <c r="N308" s="10">
        <f>IFERROR(E308*VLOOKUP(C308,Products!$A$2:$G$204,5,FALSE),0)</f>
        <v>0</v>
      </c>
      <c r="O308" s="10">
        <f>IF(E308="",0,L308-M308-N308)</f>
        <v>0</v>
      </c>
      <c r="P308" s="9"/>
      <c r="Q308" s="9"/>
    </row>
    <row r="309" spans="1:17" x14ac:dyDescent="0.2">
      <c r="A309" s="14"/>
      <c r="B309" s="6"/>
      <c r="C309" s="6"/>
      <c r="D309" s="6" t="str">
        <f>IFERROR(VLOOKUP(C309,Products!$A$2:$G$204,2,FALSE),"")</f>
        <v/>
      </c>
      <c r="E309" s="15"/>
      <c r="F309" s="7">
        <f>IFERROR(VLOOKUP(C309,Products!$A$2:$G$204,6,FALSE),0)</f>
        <v>0</v>
      </c>
      <c r="G309" s="7"/>
      <c r="H309" s="7"/>
      <c r="I309" s="7">
        <f>IF(OR(E309="",F309=""),0,MAX(0,(E309*F309-G309+H309)*IFERROR(VLOOKUP(C309,Products!$A$2:$G$204,7,FALSE),0)))</f>
        <v>0</v>
      </c>
      <c r="J309" s="7"/>
      <c r="K309" s="7">
        <f>IF(OR(E309="",F309=""),0,E309*F309)</f>
        <v>0</v>
      </c>
      <c r="L309" s="7">
        <f>IF(E309="",0,K309-G309+H309-I309-J309)</f>
        <v>0</v>
      </c>
      <c r="M309" s="7">
        <f>IFERROR(E309*VLOOKUP(C309,Products!$A$2:$G$204,4,FALSE),0)</f>
        <v>0</v>
      </c>
      <c r="N309" s="7">
        <f>IFERROR(E309*VLOOKUP(C309,Products!$A$2:$G$204,5,FALSE),0)</f>
        <v>0</v>
      </c>
      <c r="O309" s="7">
        <f>IF(E309="",0,L309-M309-N309)</f>
        <v>0</v>
      </c>
      <c r="P309" s="6"/>
      <c r="Q309" s="6"/>
    </row>
    <row r="310" spans="1:17" x14ac:dyDescent="0.2">
      <c r="A310" s="12"/>
      <c r="B310" s="9"/>
      <c r="C310" s="9"/>
      <c r="D310" s="9" t="str">
        <f>IFERROR(VLOOKUP(C310,Products!$A$2:$G$204,2,FALSE),"")</f>
        <v/>
      </c>
      <c r="E310" s="13"/>
      <c r="F310" s="10">
        <f>IFERROR(VLOOKUP(C310,Products!$A$2:$G$204,6,FALSE),0)</f>
        <v>0</v>
      </c>
      <c r="G310" s="10"/>
      <c r="H310" s="10"/>
      <c r="I310" s="10">
        <f>IF(OR(E310="",F310=""),0,MAX(0,(E310*F310-G310+H310)*IFERROR(VLOOKUP(C310,Products!$A$2:$G$204,7,FALSE),0)))</f>
        <v>0</v>
      </c>
      <c r="J310" s="10"/>
      <c r="K310" s="10">
        <f>IF(OR(E310="",F310=""),0,E310*F310)</f>
        <v>0</v>
      </c>
      <c r="L310" s="10">
        <f>IF(E310="",0,K310-G310+H310-I310-J310)</f>
        <v>0</v>
      </c>
      <c r="M310" s="10">
        <f>IFERROR(E310*VLOOKUP(C310,Products!$A$2:$G$204,4,FALSE),0)</f>
        <v>0</v>
      </c>
      <c r="N310" s="10">
        <f>IFERROR(E310*VLOOKUP(C310,Products!$A$2:$G$204,5,FALSE),0)</f>
        <v>0</v>
      </c>
      <c r="O310" s="10">
        <f>IF(E310="",0,L310-M310-N310)</f>
        <v>0</v>
      </c>
      <c r="P310" s="9"/>
      <c r="Q310" s="9"/>
    </row>
    <row r="311" spans="1:17" x14ac:dyDescent="0.2">
      <c r="A311" s="14"/>
      <c r="B311" s="6"/>
      <c r="C311" s="6"/>
      <c r="D311" s="6" t="str">
        <f>IFERROR(VLOOKUP(C311,Products!$A$2:$G$204,2,FALSE),"")</f>
        <v/>
      </c>
      <c r="E311" s="15"/>
      <c r="F311" s="7">
        <f>IFERROR(VLOOKUP(C311,Products!$A$2:$G$204,6,FALSE),0)</f>
        <v>0</v>
      </c>
      <c r="G311" s="7"/>
      <c r="H311" s="7"/>
      <c r="I311" s="7">
        <f>IF(OR(E311="",F311=""),0,MAX(0,(E311*F311-G311+H311)*IFERROR(VLOOKUP(C311,Products!$A$2:$G$204,7,FALSE),0)))</f>
        <v>0</v>
      </c>
      <c r="J311" s="7"/>
      <c r="K311" s="7">
        <f>IF(OR(E311="",F311=""),0,E311*F311)</f>
        <v>0</v>
      </c>
      <c r="L311" s="7">
        <f>IF(E311="",0,K311-G311+H311-I311-J311)</f>
        <v>0</v>
      </c>
      <c r="M311" s="7">
        <f>IFERROR(E311*VLOOKUP(C311,Products!$A$2:$G$204,4,FALSE),0)</f>
        <v>0</v>
      </c>
      <c r="N311" s="7">
        <f>IFERROR(E311*VLOOKUP(C311,Products!$A$2:$G$204,5,FALSE),0)</f>
        <v>0</v>
      </c>
      <c r="O311" s="7">
        <f>IF(E311="",0,L311-M311-N311)</f>
        <v>0</v>
      </c>
      <c r="P311" s="6"/>
      <c r="Q311" s="6"/>
    </row>
    <row r="312" spans="1:17" x14ac:dyDescent="0.2">
      <c r="A312" s="12"/>
      <c r="B312" s="9"/>
      <c r="C312" s="9"/>
      <c r="D312" s="9" t="str">
        <f>IFERROR(VLOOKUP(C312,Products!$A$2:$G$204,2,FALSE),"")</f>
        <v/>
      </c>
      <c r="E312" s="13"/>
      <c r="F312" s="10">
        <f>IFERROR(VLOOKUP(C312,Products!$A$2:$G$204,6,FALSE),0)</f>
        <v>0</v>
      </c>
      <c r="G312" s="10"/>
      <c r="H312" s="10"/>
      <c r="I312" s="10">
        <f>IF(OR(E312="",F312=""),0,MAX(0,(E312*F312-G312+H312)*IFERROR(VLOOKUP(C312,Products!$A$2:$G$204,7,FALSE),0)))</f>
        <v>0</v>
      </c>
      <c r="J312" s="10"/>
      <c r="K312" s="10">
        <f>IF(OR(E312="",F312=""),0,E312*F312)</f>
        <v>0</v>
      </c>
      <c r="L312" s="10">
        <f>IF(E312="",0,K312-G312+H312-I312-J312)</f>
        <v>0</v>
      </c>
      <c r="M312" s="10">
        <f>IFERROR(E312*VLOOKUP(C312,Products!$A$2:$G$204,4,FALSE),0)</f>
        <v>0</v>
      </c>
      <c r="N312" s="10">
        <f>IFERROR(E312*VLOOKUP(C312,Products!$A$2:$G$204,5,FALSE),0)</f>
        <v>0</v>
      </c>
      <c r="O312" s="10">
        <f>IF(E312="",0,L312-M312-N312)</f>
        <v>0</v>
      </c>
      <c r="P312" s="9"/>
      <c r="Q312" s="9"/>
    </row>
    <row r="313" spans="1:17" x14ac:dyDescent="0.2">
      <c r="A313" s="14"/>
      <c r="B313" s="6"/>
      <c r="C313" s="6"/>
      <c r="D313" s="6" t="str">
        <f>IFERROR(VLOOKUP(C313,Products!$A$2:$G$204,2,FALSE),"")</f>
        <v/>
      </c>
      <c r="E313" s="15"/>
      <c r="F313" s="7">
        <f>IFERROR(VLOOKUP(C313,Products!$A$2:$G$204,6,FALSE),0)</f>
        <v>0</v>
      </c>
      <c r="G313" s="7"/>
      <c r="H313" s="7"/>
      <c r="I313" s="7">
        <f>IF(OR(E313="",F313=""),0,MAX(0,(E313*F313-G313+H313)*IFERROR(VLOOKUP(C313,Products!$A$2:$G$204,7,FALSE),0)))</f>
        <v>0</v>
      </c>
      <c r="J313" s="7"/>
      <c r="K313" s="7">
        <f>IF(OR(E313="",F313=""),0,E313*F313)</f>
        <v>0</v>
      </c>
      <c r="L313" s="7">
        <f>IF(E313="",0,K313-G313+H313-I313-J313)</f>
        <v>0</v>
      </c>
      <c r="M313" s="7">
        <f>IFERROR(E313*VLOOKUP(C313,Products!$A$2:$G$204,4,FALSE),0)</f>
        <v>0</v>
      </c>
      <c r="N313" s="7">
        <f>IFERROR(E313*VLOOKUP(C313,Products!$A$2:$G$204,5,FALSE),0)</f>
        <v>0</v>
      </c>
      <c r="O313" s="7">
        <f>IF(E313="",0,L313-M313-N313)</f>
        <v>0</v>
      </c>
      <c r="P313" s="6"/>
      <c r="Q313" s="6"/>
    </row>
    <row r="314" spans="1:17" x14ac:dyDescent="0.2">
      <c r="A314" s="12"/>
      <c r="B314" s="9"/>
      <c r="C314" s="9"/>
      <c r="D314" s="9" t="str">
        <f>IFERROR(VLOOKUP(C314,Products!$A$2:$G$204,2,FALSE),"")</f>
        <v/>
      </c>
      <c r="E314" s="13"/>
      <c r="F314" s="10">
        <f>IFERROR(VLOOKUP(C314,Products!$A$2:$G$204,6,FALSE),0)</f>
        <v>0</v>
      </c>
      <c r="G314" s="10"/>
      <c r="H314" s="10"/>
      <c r="I314" s="10">
        <f>IF(OR(E314="",F314=""),0,MAX(0,(E314*F314-G314+H314)*IFERROR(VLOOKUP(C314,Products!$A$2:$G$204,7,FALSE),0)))</f>
        <v>0</v>
      </c>
      <c r="J314" s="10"/>
      <c r="K314" s="10">
        <f>IF(OR(E314="",F314=""),0,E314*F314)</f>
        <v>0</v>
      </c>
      <c r="L314" s="10">
        <f>IF(E314="",0,K314-G314+H314-I314-J314)</f>
        <v>0</v>
      </c>
      <c r="M314" s="10">
        <f>IFERROR(E314*VLOOKUP(C314,Products!$A$2:$G$204,4,FALSE),0)</f>
        <v>0</v>
      </c>
      <c r="N314" s="10">
        <f>IFERROR(E314*VLOOKUP(C314,Products!$A$2:$G$204,5,FALSE),0)</f>
        <v>0</v>
      </c>
      <c r="O314" s="10">
        <f>IF(E314="",0,L314-M314-N314)</f>
        <v>0</v>
      </c>
      <c r="P314" s="9"/>
      <c r="Q314" s="9"/>
    </row>
    <row r="315" spans="1:17" x14ac:dyDescent="0.2">
      <c r="A315" s="14"/>
      <c r="B315" s="6"/>
      <c r="C315" s="6"/>
      <c r="D315" s="6" t="str">
        <f>IFERROR(VLOOKUP(C315,Products!$A$2:$G$204,2,FALSE),"")</f>
        <v/>
      </c>
      <c r="E315" s="15"/>
      <c r="F315" s="7">
        <f>IFERROR(VLOOKUP(C315,Products!$A$2:$G$204,6,FALSE),0)</f>
        <v>0</v>
      </c>
      <c r="G315" s="7"/>
      <c r="H315" s="7"/>
      <c r="I315" s="7">
        <f>IF(OR(E315="",F315=""),0,MAX(0,(E315*F315-G315+H315)*IFERROR(VLOOKUP(C315,Products!$A$2:$G$204,7,FALSE),0)))</f>
        <v>0</v>
      </c>
      <c r="J315" s="7"/>
      <c r="K315" s="7">
        <f>IF(OR(E315="",F315=""),0,E315*F315)</f>
        <v>0</v>
      </c>
      <c r="L315" s="7">
        <f>IF(E315="",0,K315-G315+H315-I315-J315)</f>
        <v>0</v>
      </c>
      <c r="M315" s="7">
        <f>IFERROR(E315*VLOOKUP(C315,Products!$A$2:$G$204,4,FALSE),0)</f>
        <v>0</v>
      </c>
      <c r="N315" s="7">
        <f>IFERROR(E315*VLOOKUP(C315,Products!$A$2:$G$204,5,FALSE),0)</f>
        <v>0</v>
      </c>
      <c r="O315" s="7">
        <f>IF(E315="",0,L315-M315-N315)</f>
        <v>0</v>
      </c>
      <c r="P315" s="6"/>
      <c r="Q315" s="6"/>
    </row>
    <row r="316" spans="1:17" x14ac:dyDescent="0.2">
      <c r="A316" s="12"/>
      <c r="B316" s="9"/>
      <c r="C316" s="9"/>
      <c r="D316" s="9" t="str">
        <f>IFERROR(VLOOKUP(C316,Products!$A$2:$G$204,2,FALSE),"")</f>
        <v/>
      </c>
      <c r="E316" s="13"/>
      <c r="F316" s="10">
        <f>IFERROR(VLOOKUP(C316,Products!$A$2:$G$204,6,FALSE),0)</f>
        <v>0</v>
      </c>
      <c r="G316" s="10"/>
      <c r="H316" s="10"/>
      <c r="I316" s="10">
        <f>IF(OR(E316="",F316=""),0,MAX(0,(E316*F316-G316+H316)*IFERROR(VLOOKUP(C316,Products!$A$2:$G$204,7,FALSE),0)))</f>
        <v>0</v>
      </c>
      <c r="J316" s="10"/>
      <c r="K316" s="10">
        <f>IF(OR(E316="",F316=""),0,E316*F316)</f>
        <v>0</v>
      </c>
      <c r="L316" s="10">
        <f>IF(E316="",0,K316-G316+H316-I316-J316)</f>
        <v>0</v>
      </c>
      <c r="M316" s="10">
        <f>IFERROR(E316*VLOOKUP(C316,Products!$A$2:$G$204,4,FALSE),0)</f>
        <v>0</v>
      </c>
      <c r="N316" s="10">
        <f>IFERROR(E316*VLOOKUP(C316,Products!$A$2:$G$204,5,FALSE),0)</f>
        <v>0</v>
      </c>
      <c r="O316" s="10">
        <f>IF(E316="",0,L316-M316-N316)</f>
        <v>0</v>
      </c>
      <c r="P316" s="9"/>
      <c r="Q316" s="9"/>
    </row>
    <row r="317" spans="1:17" x14ac:dyDescent="0.2">
      <c r="A317" s="14"/>
      <c r="B317" s="6"/>
      <c r="C317" s="6"/>
      <c r="D317" s="6" t="str">
        <f>IFERROR(VLOOKUP(C317,Products!$A$2:$G$204,2,FALSE),"")</f>
        <v/>
      </c>
      <c r="E317" s="15"/>
      <c r="F317" s="7">
        <f>IFERROR(VLOOKUP(C317,Products!$A$2:$G$204,6,FALSE),0)</f>
        <v>0</v>
      </c>
      <c r="G317" s="7"/>
      <c r="H317" s="7"/>
      <c r="I317" s="7">
        <f>IF(OR(E317="",F317=""),0,MAX(0,(E317*F317-G317+H317)*IFERROR(VLOOKUP(C317,Products!$A$2:$G$204,7,FALSE),0)))</f>
        <v>0</v>
      </c>
      <c r="J317" s="7"/>
      <c r="K317" s="7">
        <f>IF(OR(E317="",F317=""),0,E317*F317)</f>
        <v>0</v>
      </c>
      <c r="L317" s="7">
        <f>IF(E317="",0,K317-G317+H317-I317-J317)</f>
        <v>0</v>
      </c>
      <c r="M317" s="7">
        <f>IFERROR(E317*VLOOKUP(C317,Products!$A$2:$G$204,4,FALSE),0)</f>
        <v>0</v>
      </c>
      <c r="N317" s="7">
        <f>IFERROR(E317*VLOOKUP(C317,Products!$A$2:$G$204,5,FALSE),0)</f>
        <v>0</v>
      </c>
      <c r="O317" s="7">
        <f>IF(E317="",0,L317-M317-N317)</f>
        <v>0</v>
      </c>
      <c r="P317" s="6"/>
      <c r="Q317" s="6"/>
    </row>
    <row r="318" spans="1:17" x14ac:dyDescent="0.2">
      <c r="A318" s="12"/>
      <c r="B318" s="9"/>
      <c r="C318" s="9"/>
      <c r="D318" s="9" t="str">
        <f>IFERROR(VLOOKUP(C318,Products!$A$2:$G$204,2,FALSE),"")</f>
        <v/>
      </c>
      <c r="E318" s="13"/>
      <c r="F318" s="10">
        <f>IFERROR(VLOOKUP(C318,Products!$A$2:$G$204,6,FALSE),0)</f>
        <v>0</v>
      </c>
      <c r="G318" s="10"/>
      <c r="H318" s="10"/>
      <c r="I318" s="10">
        <f>IF(OR(E318="",F318=""),0,MAX(0,(E318*F318-G318+H318)*IFERROR(VLOOKUP(C318,Products!$A$2:$G$204,7,FALSE),0)))</f>
        <v>0</v>
      </c>
      <c r="J318" s="10"/>
      <c r="K318" s="10">
        <f>IF(OR(E318="",F318=""),0,E318*F318)</f>
        <v>0</v>
      </c>
      <c r="L318" s="10">
        <f>IF(E318="",0,K318-G318+H318-I318-J318)</f>
        <v>0</v>
      </c>
      <c r="M318" s="10">
        <f>IFERROR(E318*VLOOKUP(C318,Products!$A$2:$G$204,4,FALSE),0)</f>
        <v>0</v>
      </c>
      <c r="N318" s="10">
        <f>IFERROR(E318*VLOOKUP(C318,Products!$A$2:$G$204,5,FALSE),0)</f>
        <v>0</v>
      </c>
      <c r="O318" s="10">
        <f>IF(E318="",0,L318-M318-N318)</f>
        <v>0</v>
      </c>
      <c r="P318" s="9"/>
      <c r="Q318" s="9"/>
    </row>
    <row r="319" spans="1:17" x14ac:dyDescent="0.2">
      <c r="A319" s="14"/>
      <c r="B319" s="6"/>
      <c r="C319" s="6"/>
      <c r="D319" s="6" t="str">
        <f>IFERROR(VLOOKUP(C319,Products!$A$2:$G$204,2,FALSE),"")</f>
        <v/>
      </c>
      <c r="E319" s="15"/>
      <c r="F319" s="7">
        <f>IFERROR(VLOOKUP(C319,Products!$A$2:$G$204,6,FALSE),0)</f>
        <v>0</v>
      </c>
      <c r="G319" s="7"/>
      <c r="H319" s="7"/>
      <c r="I319" s="7">
        <f>IF(OR(E319="",F319=""),0,MAX(0,(E319*F319-G319+H319)*IFERROR(VLOOKUP(C319,Products!$A$2:$G$204,7,FALSE),0)))</f>
        <v>0</v>
      </c>
      <c r="J319" s="7"/>
      <c r="K319" s="7">
        <f>IF(OR(E319="",F319=""),0,E319*F319)</f>
        <v>0</v>
      </c>
      <c r="L319" s="7">
        <f>IF(E319="",0,K319-G319+H319-I319-J319)</f>
        <v>0</v>
      </c>
      <c r="M319" s="7">
        <f>IFERROR(E319*VLOOKUP(C319,Products!$A$2:$G$204,4,FALSE),0)</f>
        <v>0</v>
      </c>
      <c r="N319" s="7">
        <f>IFERROR(E319*VLOOKUP(C319,Products!$A$2:$G$204,5,FALSE),0)</f>
        <v>0</v>
      </c>
      <c r="O319" s="7">
        <f>IF(E319="",0,L319-M319-N319)</f>
        <v>0</v>
      </c>
      <c r="P319" s="6"/>
      <c r="Q319" s="6"/>
    </row>
    <row r="320" spans="1:17" x14ac:dyDescent="0.2">
      <c r="A320" s="12"/>
      <c r="B320" s="9"/>
      <c r="C320" s="9"/>
      <c r="D320" s="9" t="str">
        <f>IFERROR(VLOOKUP(C320,Products!$A$2:$G$204,2,FALSE),"")</f>
        <v/>
      </c>
      <c r="E320" s="13"/>
      <c r="F320" s="10">
        <f>IFERROR(VLOOKUP(C320,Products!$A$2:$G$204,6,FALSE),0)</f>
        <v>0</v>
      </c>
      <c r="G320" s="10"/>
      <c r="H320" s="10"/>
      <c r="I320" s="10">
        <f>IF(OR(E320="",F320=""),0,MAX(0,(E320*F320-G320+H320)*IFERROR(VLOOKUP(C320,Products!$A$2:$G$204,7,FALSE),0)))</f>
        <v>0</v>
      </c>
      <c r="J320" s="10"/>
      <c r="K320" s="10">
        <f>IF(OR(E320="",F320=""),0,E320*F320)</f>
        <v>0</v>
      </c>
      <c r="L320" s="10">
        <f>IF(E320="",0,K320-G320+H320-I320-J320)</f>
        <v>0</v>
      </c>
      <c r="M320" s="10">
        <f>IFERROR(E320*VLOOKUP(C320,Products!$A$2:$G$204,4,FALSE),0)</f>
        <v>0</v>
      </c>
      <c r="N320" s="10">
        <f>IFERROR(E320*VLOOKUP(C320,Products!$A$2:$G$204,5,FALSE),0)</f>
        <v>0</v>
      </c>
      <c r="O320" s="10">
        <f>IF(E320="",0,L320-M320-N320)</f>
        <v>0</v>
      </c>
      <c r="P320" s="9"/>
      <c r="Q320" s="9"/>
    </row>
    <row r="321" spans="1:17" x14ac:dyDescent="0.2">
      <c r="A321" s="14"/>
      <c r="B321" s="6"/>
      <c r="C321" s="6"/>
      <c r="D321" s="6" t="str">
        <f>IFERROR(VLOOKUP(C321,Products!$A$2:$G$204,2,FALSE),"")</f>
        <v/>
      </c>
      <c r="E321" s="15"/>
      <c r="F321" s="7">
        <f>IFERROR(VLOOKUP(C321,Products!$A$2:$G$204,6,FALSE),0)</f>
        <v>0</v>
      </c>
      <c r="G321" s="7"/>
      <c r="H321" s="7"/>
      <c r="I321" s="7">
        <f>IF(OR(E321="",F321=""),0,MAX(0,(E321*F321-G321+H321)*IFERROR(VLOOKUP(C321,Products!$A$2:$G$204,7,FALSE),0)))</f>
        <v>0</v>
      </c>
      <c r="J321" s="7"/>
      <c r="K321" s="7">
        <f>IF(OR(E321="",F321=""),0,E321*F321)</f>
        <v>0</v>
      </c>
      <c r="L321" s="7">
        <f>IF(E321="",0,K321-G321+H321-I321-J321)</f>
        <v>0</v>
      </c>
      <c r="M321" s="7">
        <f>IFERROR(E321*VLOOKUP(C321,Products!$A$2:$G$204,4,FALSE),0)</f>
        <v>0</v>
      </c>
      <c r="N321" s="7">
        <f>IFERROR(E321*VLOOKUP(C321,Products!$A$2:$G$204,5,FALSE),0)</f>
        <v>0</v>
      </c>
      <c r="O321" s="7">
        <f>IF(E321="",0,L321-M321-N321)</f>
        <v>0</v>
      </c>
      <c r="P321" s="6"/>
      <c r="Q321" s="6"/>
    </row>
    <row r="322" spans="1:17" x14ac:dyDescent="0.2">
      <c r="A322" s="12"/>
      <c r="B322" s="9"/>
      <c r="C322" s="9"/>
      <c r="D322" s="9" t="str">
        <f>IFERROR(VLOOKUP(C322,Products!$A$2:$G$204,2,FALSE),"")</f>
        <v/>
      </c>
      <c r="E322" s="13"/>
      <c r="F322" s="10">
        <f>IFERROR(VLOOKUP(C322,Products!$A$2:$G$204,6,FALSE),0)</f>
        <v>0</v>
      </c>
      <c r="G322" s="10"/>
      <c r="H322" s="10"/>
      <c r="I322" s="10">
        <f>IF(OR(E322="",F322=""),0,MAX(0,(E322*F322-G322+H322)*IFERROR(VLOOKUP(C322,Products!$A$2:$G$204,7,FALSE),0)))</f>
        <v>0</v>
      </c>
      <c r="J322" s="10"/>
      <c r="K322" s="10">
        <f>IF(OR(E322="",F322=""),0,E322*F322)</f>
        <v>0</v>
      </c>
      <c r="L322" s="10">
        <f>IF(E322="",0,K322-G322+H322-I322-J322)</f>
        <v>0</v>
      </c>
      <c r="M322" s="10">
        <f>IFERROR(E322*VLOOKUP(C322,Products!$A$2:$G$204,4,FALSE),0)</f>
        <v>0</v>
      </c>
      <c r="N322" s="10">
        <f>IFERROR(E322*VLOOKUP(C322,Products!$A$2:$G$204,5,FALSE),0)</f>
        <v>0</v>
      </c>
      <c r="O322" s="10">
        <f>IF(E322="",0,L322-M322-N322)</f>
        <v>0</v>
      </c>
      <c r="P322" s="9"/>
      <c r="Q322" s="9"/>
    </row>
    <row r="323" spans="1:17" x14ac:dyDescent="0.2">
      <c r="A323" s="14"/>
      <c r="B323" s="6"/>
      <c r="C323" s="6"/>
      <c r="D323" s="6" t="str">
        <f>IFERROR(VLOOKUP(C323,Products!$A$2:$G$204,2,FALSE),"")</f>
        <v/>
      </c>
      <c r="E323" s="15"/>
      <c r="F323" s="7">
        <f>IFERROR(VLOOKUP(C323,Products!$A$2:$G$204,6,FALSE),0)</f>
        <v>0</v>
      </c>
      <c r="G323" s="7"/>
      <c r="H323" s="7"/>
      <c r="I323" s="7">
        <f>IF(OR(E323="",F323=""),0,MAX(0,(E323*F323-G323+H323)*IFERROR(VLOOKUP(C323,Products!$A$2:$G$204,7,FALSE),0)))</f>
        <v>0</v>
      </c>
      <c r="J323" s="7"/>
      <c r="K323" s="7">
        <f>IF(OR(E323="",F323=""),0,E323*F323)</f>
        <v>0</v>
      </c>
      <c r="L323" s="7">
        <f>IF(E323="",0,K323-G323+H323-I323-J323)</f>
        <v>0</v>
      </c>
      <c r="M323" s="7">
        <f>IFERROR(E323*VLOOKUP(C323,Products!$A$2:$G$204,4,FALSE),0)</f>
        <v>0</v>
      </c>
      <c r="N323" s="7">
        <f>IFERROR(E323*VLOOKUP(C323,Products!$A$2:$G$204,5,FALSE),0)</f>
        <v>0</v>
      </c>
      <c r="O323" s="7">
        <f>IF(E323="",0,L323-M323-N323)</f>
        <v>0</v>
      </c>
      <c r="P323" s="6"/>
      <c r="Q323" s="6"/>
    </row>
    <row r="324" spans="1:17" x14ac:dyDescent="0.2">
      <c r="A324" s="12"/>
      <c r="B324" s="9"/>
      <c r="C324" s="9"/>
      <c r="D324" s="9" t="str">
        <f>IFERROR(VLOOKUP(C324,Products!$A$2:$G$204,2,FALSE),"")</f>
        <v/>
      </c>
      <c r="E324" s="13"/>
      <c r="F324" s="10">
        <f>IFERROR(VLOOKUP(C324,Products!$A$2:$G$204,6,FALSE),0)</f>
        <v>0</v>
      </c>
      <c r="G324" s="10"/>
      <c r="H324" s="10"/>
      <c r="I324" s="10">
        <f>IF(OR(E324="",F324=""),0,MAX(0,(E324*F324-G324+H324)*IFERROR(VLOOKUP(C324,Products!$A$2:$G$204,7,FALSE),0)))</f>
        <v>0</v>
      </c>
      <c r="J324" s="10"/>
      <c r="K324" s="10">
        <f>IF(OR(E324="",F324=""),0,E324*F324)</f>
        <v>0</v>
      </c>
      <c r="L324" s="10">
        <f>IF(E324="",0,K324-G324+H324-I324-J324)</f>
        <v>0</v>
      </c>
      <c r="M324" s="10">
        <f>IFERROR(E324*VLOOKUP(C324,Products!$A$2:$G$204,4,FALSE),0)</f>
        <v>0</v>
      </c>
      <c r="N324" s="10">
        <f>IFERROR(E324*VLOOKUP(C324,Products!$A$2:$G$204,5,FALSE),0)</f>
        <v>0</v>
      </c>
      <c r="O324" s="10">
        <f>IF(E324="",0,L324-M324-N324)</f>
        <v>0</v>
      </c>
      <c r="P324" s="9"/>
      <c r="Q324" s="9"/>
    </row>
    <row r="325" spans="1:17" x14ac:dyDescent="0.2">
      <c r="A325" s="14"/>
      <c r="B325" s="6"/>
      <c r="C325" s="6"/>
      <c r="D325" s="6" t="str">
        <f>IFERROR(VLOOKUP(C325,Products!$A$2:$G$204,2,FALSE),"")</f>
        <v/>
      </c>
      <c r="E325" s="15"/>
      <c r="F325" s="7">
        <f>IFERROR(VLOOKUP(C325,Products!$A$2:$G$204,6,FALSE),0)</f>
        <v>0</v>
      </c>
      <c r="G325" s="7"/>
      <c r="H325" s="7"/>
      <c r="I325" s="7">
        <f>IF(OR(E325="",F325=""),0,MAX(0,(E325*F325-G325+H325)*IFERROR(VLOOKUP(C325,Products!$A$2:$G$204,7,FALSE),0)))</f>
        <v>0</v>
      </c>
      <c r="J325" s="7"/>
      <c r="K325" s="7">
        <f>IF(OR(E325="",F325=""),0,E325*F325)</f>
        <v>0</v>
      </c>
      <c r="L325" s="7">
        <f>IF(E325="",0,K325-G325+H325-I325-J325)</f>
        <v>0</v>
      </c>
      <c r="M325" s="7">
        <f>IFERROR(E325*VLOOKUP(C325,Products!$A$2:$G$204,4,FALSE),0)</f>
        <v>0</v>
      </c>
      <c r="N325" s="7">
        <f>IFERROR(E325*VLOOKUP(C325,Products!$A$2:$G$204,5,FALSE),0)</f>
        <v>0</v>
      </c>
      <c r="O325" s="7">
        <f>IF(E325="",0,L325-M325-N325)</f>
        <v>0</v>
      </c>
      <c r="P325" s="6"/>
      <c r="Q325" s="6"/>
    </row>
    <row r="326" spans="1:17" x14ac:dyDescent="0.2">
      <c r="A326" s="12"/>
      <c r="B326" s="9"/>
      <c r="C326" s="9"/>
      <c r="D326" s="9" t="str">
        <f>IFERROR(VLOOKUP(C326,Products!$A$2:$G$204,2,FALSE),"")</f>
        <v/>
      </c>
      <c r="E326" s="13"/>
      <c r="F326" s="10">
        <f>IFERROR(VLOOKUP(C326,Products!$A$2:$G$204,6,FALSE),0)</f>
        <v>0</v>
      </c>
      <c r="G326" s="10"/>
      <c r="H326" s="10"/>
      <c r="I326" s="10">
        <f>IF(OR(E326="",F326=""),0,MAX(0,(E326*F326-G326+H326)*IFERROR(VLOOKUP(C326,Products!$A$2:$G$204,7,FALSE),0)))</f>
        <v>0</v>
      </c>
      <c r="J326" s="10"/>
      <c r="K326" s="10">
        <f>IF(OR(E326="",F326=""),0,E326*F326)</f>
        <v>0</v>
      </c>
      <c r="L326" s="10">
        <f>IF(E326="",0,K326-G326+H326-I326-J326)</f>
        <v>0</v>
      </c>
      <c r="M326" s="10">
        <f>IFERROR(E326*VLOOKUP(C326,Products!$A$2:$G$204,4,FALSE),0)</f>
        <v>0</v>
      </c>
      <c r="N326" s="10">
        <f>IFERROR(E326*VLOOKUP(C326,Products!$A$2:$G$204,5,FALSE),0)</f>
        <v>0</v>
      </c>
      <c r="O326" s="10">
        <f>IF(E326="",0,L326-M326-N326)</f>
        <v>0</v>
      </c>
      <c r="P326" s="9"/>
      <c r="Q326" s="9"/>
    </row>
    <row r="327" spans="1:17" x14ac:dyDescent="0.2">
      <c r="A327" s="14"/>
      <c r="B327" s="6"/>
      <c r="C327" s="6"/>
      <c r="D327" s="6" t="str">
        <f>IFERROR(VLOOKUP(C327,Products!$A$2:$G$204,2,FALSE),"")</f>
        <v/>
      </c>
      <c r="E327" s="15"/>
      <c r="F327" s="7">
        <f>IFERROR(VLOOKUP(C327,Products!$A$2:$G$204,6,FALSE),0)</f>
        <v>0</v>
      </c>
      <c r="G327" s="7"/>
      <c r="H327" s="7"/>
      <c r="I327" s="7">
        <f>IF(OR(E327="",F327=""),0,MAX(0,(E327*F327-G327+H327)*IFERROR(VLOOKUP(C327,Products!$A$2:$G$204,7,FALSE),0)))</f>
        <v>0</v>
      </c>
      <c r="J327" s="7"/>
      <c r="K327" s="7">
        <f>IF(OR(E327="",F327=""),0,E327*F327)</f>
        <v>0</v>
      </c>
      <c r="L327" s="7">
        <f>IF(E327="",0,K327-G327+H327-I327-J327)</f>
        <v>0</v>
      </c>
      <c r="M327" s="7">
        <f>IFERROR(E327*VLOOKUP(C327,Products!$A$2:$G$204,4,FALSE),0)</f>
        <v>0</v>
      </c>
      <c r="N327" s="7">
        <f>IFERROR(E327*VLOOKUP(C327,Products!$A$2:$G$204,5,FALSE),0)</f>
        <v>0</v>
      </c>
      <c r="O327" s="7">
        <f>IF(E327="",0,L327-M327-N327)</f>
        <v>0</v>
      </c>
      <c r="P327" s="6"/>
      <c r="Q327" s="6"/>
    </row>
    <row r="328" spans="1:17" x14ac:dyDescent="0.2">
      <c r="A328" s="12"/>
      <c r="B328" s="9"/>
      <c r="C328" s="9"/>
      <c r="D328" s="9" t="str">
        <f>IFERROR(VLOOKUP(C328,Products!$A$2:$G$204,2,FALSE),"")</f>
        <v/>
      </c>
      <c r="E328" s="13"/>
      <c r="F328" s="10">
        <f>IFERROR(VLOOKUP(C328,Products!$A$2:$G$204,6,FALSE),0)</f>
        <v>0</v>
      </c>
      <c r="G328" s="10"/>
      <c r="H328" s="10"/>
      <c r="I328" s="10">
        <f>IF(OR(E328="",F328=""),0,MAX(0,(E328*F328-G328+H328)*IFERROR(VLOOKUP(C328,Products!$A$2:$G$204,7,FALSE),0)))</f>
        <v>0</v>
      </c>
      <c r="J328" s="10"/>
      <c r="K328" s="10">
        <f>IF(OR(E328="",F328=""),0,E328*F328)</f>
        <v>0</v>
      </c>
      <c r="L328" s="10">
        <f>IF(E328="",0,K328-G328+H328-I328-J328)</f>
        <v>0</v>
      </c>
      <c r="M328" s="10">
        <f>IFERROR(E328*VLOOKUP(C328,Products!$A$2:$G$204,4,FALSE),0)</f>
        <v>0</v>
      </c>
      <c r="N328" s="10">
        <f>IFERROR(E328*VLOOKUP(C328,Products!$A$2:$G$204,5,FALSE),0)</f>
        <v>0</v>
      </c>
      <c r="O328" s="10">
        <f>IF(E328="",0,L328-M328-N328)</f>
        <v>0</v>
      </c>
      <c r="P328" s="9"/>
      <c r="Q328" s="9"/>
    </row>
    <row r="329" spans="1:17" x14ac:dyDescent="0.2">
      <c r="A329" s="14"/>
      <c r="B329" s="6"/>
      <c r="C329" s="6"/>
      <c r="D329" s="6" t="str">
        <f>IFERROR(VLOOKUP(C329,Products!$A$2:$G$204,2,FALSE),"")</f>
        <v/>
      </c>
      <c r="E329" s="15"/>
      <c r="F329" s="7">
        <f>IFERROR(VLOOKUP(C329,Products!$A$2:$G$204,6,FALSE),0)</f>
        <v>0</v>
      </c>
      <c r="G329" s="7"/>
      <c r="H329" s="7"/>
      <c r="I329" s="7">
        <f>IF(OR(E329="",F329=""),0,MAX(0,(E329*F329-G329+H329)*IFERROR(VLOOKUP(C329,Products!$A$2:$G$204,7,FALSE),0)))</f>
        <v>0</v>
      </c>
      <c r="J329" s="7"/>
      <c r="K329" s="7">
        <f>IF(OR(E329="",F329=""),0,E329*F329)</f>
        <v>0</v>
      </c>
      <c r="L329" s="7">
        <f>IF(E329="",0,K329-G329+H329-I329-J329)</f>
        <v>0</v>
      </c>
      <c r="M329" s="7">
        <f>IFERROR(E329*VLOOKUP(C329,Products!$A$2:$G$204,4,FALSE),0)</f>
        <v>0</v>
      </c>
      <c r="N329" s="7">
        <f>IFERROR(E329*VLOOKUP(C329,Products!$A$2:$G$204,5,FALSE),0)</f>
        <v>0</v>
      </c>
      <c r="O329" s="7">
        <f>IF(E329="",0,L329-M329-N329)</f>
        <v>0</v>
      </c>
      <c r="P329" s="6"/>
      <c r="Q329" s="6"/>
    </row>
    <row r="330" spans="1:17" x14ac:dyDescent="0.2">
      <c r="A330" s="12"/>
      <c r="B330" s="9"/>
      <c r="C330" s="9"/>
      <c r="D330" s="9" t="str">
        <f>IFERROR(VLOOKUP(C330,Products!$A$2:$G$204,2,FALSE),"")</f>
        <v/>
      </c>
      <c r="E330" s="13"/>
      <c r="F330" s="10">
        <f>IFERROR(VLOOKUP(C330,Products!$A$2:$G$204,6,FALSE),0)</f>
        <v>0</v>
      </c>
      <c r="G330" s="10"/>
      <c r="H330" s="10"/>
      <c r="I330" s="10">
        <f>IF(OR(E330="",F330=""),0,MAX(0,(E330*F330-G330+H330)*IFERROR(VLOOKUP(C330,Products!$A$2:$G$204,7,FALSE),0)))</f>
        <v>0</v>
      </c>
      <c r="J330" s="10"/>
      <c r="K330" s="10">
        <f>IF(OR(E330="",F330=""),0,E330*F330)</f>
        <v>0</v>
      </c>
      <c r="L330" s="10">
        <f>IF(E330="",0,K330-G330+H330-I330-J330)</f>
        <v>0</v>
      </c>
      <c r="M330" s="10">
        <f>IFERROR(E330*VLOOKUP(C330,Products!$A$2:$G$204,4,FALSE),0)</f>
        <v>0</v>
      </c>
      <c r="N330" s="10">
        <f>IFERROR(E330*VLOOKUP(C330,Products!$A$2:$G$204,5,FALSE),0)</f>
        <v>0</v>
      </c>
      <c r="O330" s="10">
        <f>IF(E330="",0,L330-M330-N330)</f>
        <v>0</v>
      </c>
      <c r="P330" s="9"/>
      <c r="Q330" s="9"/>
    </row>
    <row r="331" spans="1:17" x14ac:dyDescent="0.2">
      <c r="A331" s="14"/>
      <c r="B331" s="6"/>
      <c r="C331" s="6"/>
      <c r="D331" s="6" t="str">
        <f>IFERROR(VLOOKUP(C331,Products!$A$2:$G$204,2,FALSE),"")</f>
        <v/>
      </c>
      <c r="E331" s="15"/>
      <c r="F331" s="7">
        <f>IFERROR(VLOOKUP(C331,Products!$A$2:$G$204,6,FALSE),0)</f>
        <v>0</v>
      </c>
      <c r="G331" s="7"/>
      <c r="H331" s="7"/>
      <c r="I331" s="7">
        <f>IF(OR(E331="",F331=""),0,MAX(0,(E331*F331-G331+H331)*IFERROR(VLOOKUP(C331,Products!$A$2:$G$204,7,FALSE),0)))</f>
        <v>0</v>
      </c>
      <c r="J331" s="7"/>
      <c r="K331" s="7">
        <f>IF(OR(E331="",F331=""),0,E331*F331)</f>
        <v>0</v>
      </c>
      <c r="L331" s="7">
        <f>IF(E331="",0,K331-G331+H331-I331-J331)</f>
        <v>0</v>
      </c>
      <c r="M331" s="7">
        <f>IFERROR(E331*VLOOKUP(C331,Products!$A$2:$G$204,4,FALSE),0)</f>
        <v>0</v>
      </c>
      <c r="N331" s="7">
        <f>IFERROR(E331*VLOOKUP(C331,Products!$A$2:$G$204,5,FALSE),0)</f>
        <v>0</v>
      </c>
      <c r="O331" s="7">
        <f>IF(E331="",0,L331-M331-N331)</f>
        <v>0</v>
      </c>
      <c r="P331" s="6"/>
      <c r="Q331" s="6"/>
    </row>
    <row r="332" spans="1:17" x14ac:dyDescent="0.2">
      <c r="A332" s="12"/>
      <c r="B332" s="9"/>
      <c r="C332" s="9"/>
      <c r="D332" s="9" t="str">
        <f>IFERROR(VLOOKUP(C332,Products!$A$2:$G$204,2,FALSE),"")</f>
        <v/>
      </c>
      <c r="E332" s="13"/>
      <c r="F332" s="10">
        <f>IFERROR(VLOOKUP(C332,Products!$A$2:$G$204,6,FALSE),0)</f>
        <v>0</v>
      </c>
      <c r="G332" s="10"/>
      <c r="H332" s="10"/>
      <c r="I332" s="10">
        <f>IF(OR(E332="",F332=""),0,MAX(0,(E332*F332-G332+H332)*IFERROR(VLOOKUP(C332,Products!$A$2:$G$204,7,FALSE),0)))</f>
        <v>0</v>
      </c>
      <c r="J332" s="10"/>
      <c r="K332" s="10">
        <f>IF(OR(E332="",F332=""),0,E332*F332)</f>
        <v>0</v>
      </c>
      <c r="L332" s="10">
        <f>IF(E332="",0,K332-G332+H332-I332-J332)</f>
        <v>0</v>
      </c>
      <c r="M332" s="10">
        <f>IFERROR(E332*VLOOKUP(C332,Products!$A$2:$G$204,4,FALSE),0)</f>
        <v>0</v>
      </c>
      <c r="N332" s="10">
        <f>IFERROR(E332*VLOOKUP(C332,Products!$A$2:$G$204,5,FALSE),0)</f>
        <v>0</v>
      </c>
      <c r="O332" s="10">
        <f>IF(E332="",0,L332-M332-N332)</f>
        <v>0</v>
      </c>
      <c r="P332" s="9"/>
      <c r="Q332" s="9"/>
    </row>
    <row r="333" spans="1:17" x14ac:dyDescent="0.2">
      <c r="A333" s="14"/>
      <c r="B333" s="6"/>
      <c r="C333" s="6"/>
      <c r="D333" s="6" t="str">
        <f>IFERROR(VLOOKUP(C333,Products!$A$2:$G$204,2,FALSE),"")</f>
        <v/>
      </c>
      <c r="E333" s="15"/>
      <c r="F333" s="7">
        <f>IFERROR(VLOOKUP(C333,Products!$A$2:$G$204,6,FALSE),0)</f>
        <v>0</v>
      </c>
      <c r="G333" s="7"/>
      <c r="H333" s="7"/>
      <c r="I333" s="7">
        <f>IF(OR(E333="",F333=""),0,MAX(0,(E333*F333-G333+H333)*IFERROR(VLOOKUP(C333,Products!$A$2:$G$204,7,FALSE),0)))</f>
        <v>0</v>
      </c>
      <c r="J333" s="7"/>
      <c r="K333" s="7">
        <f>IF(OR(E333="",F333=""),0,E333*F333)</f>
        <v>0</v>
      </c>
      <c r="L333" s="7">
        <f>IF(E333="",0,K333-G333+H333-I333-J333)</f>
        <v>0</v>
      </c>
      <c r="M333" s="7">
        <f>IFERROR(E333*VLOOKUP(C333,Products!$A$2:$G$204,4,FALSE),0)</f>
        <v>0</v>
      </c>
      <c r="N333" s="7">
        <f>IFERROR(E333*VLOOKUP(C333,Products!$A$2:$G$204,5,FALSE),0)</f>
        <v>0</v>
      </c>
      <c r="O333" s="7">
        <f>IF(E333="",0,L333-M333-N333)</f>
        <v>0</v>
      </c>
      <c r="P333" s="6"/>
      <c r="Q333" s="6"/>
    </row>
    <row r="334" spans="1:17" x14ac:dyDescent="0.2">
      <c r="A334" s="12"/>
      <c r="B334" s="9"/>
      <c r="C334" s="9"/>
      <c r="D334" s="9" t="str">
        <f>IFERROR(VLOOKUP(C334,Products!$A$2:$G$204,2,FALSE),"")</f>
        <v/>
      </c>
      <c r="E334" s="13"/>
      <c r="F334" s="10">
        <f>IFERROR(VLOOKUP(C334,Products!$A$2:$G$204,6,FALSE),0)</f>
        <v>0</v>
      </c>
      <c r="G334" s="10"/>
      <c r="H334" s="10"/>
      <c r="I334" s="10">
        <f>IF(OR(E334="",F334=""),0,MAX(0,(E334*F334-G334+H334)*IFERROR(VLOOKUP(C334,Products!$A$2:$G$204,7,FALSE),0)))</f>
        <v>0</v>
      </c>
      <c r="J334" s="10"/>
      <c r="K334" s="10">
        <f>IF(OR(E334="",F334=""),0,E334*F334)</f>
        <v>0</v>
      </c>
      <c r="L334" s="10">
        <f>IF(E334="",0,K334-G334+H334-I334-J334)</f>
        <v>0</v>
      </c>
      <c r="M334" s="10">
        <f>IFERROR(E334*VLOOKUP(C334,Products!$A$2:$G$204,4,FALSE),0)</f>
        <v>0</v>
      </c>
      <c r="N334" s="10">
        <f>IFERROR(E334*VLOOKUP(C334,Products!$A$2:$G$204,5,FALSE),0)</f>
        <v>0</v>
      </c>
      <c r="O334" s="10">
        <f>IF(E334="",0,L334-M334-N334)</f>
        <v>0</v>
      </c>
      <c r="P334" s="9"/>
      <c r="Q334" s="9"/>
    </row>
    <row r="335" spans="1:17" x14ac:dyDescent="0.2">
      <c r="A335" s="14"/>
      <c r="B335" s="6"/>
      <c r="C335" s="6"/>
      <c r="D335" s="6" t="str">
        <f>IFERROR(VLOOKUP(C335,Products!$A$2:$G$204,2,FALSE),"")</f>
        <v/>
      </c>
      <c r="E335" s="15"/>
      <c r="F335" s="7">
        <f>IFERROR(VLOOKUP(C335,Products!$A$2:$G$204,6,FALSE),0)</f>
        <v>0</v>
      </c>
      <c r="G335" s="7"/>
      <c r="H335" s="7"/>
      <c r="I335" s="7">
        <f>IF(OR(E335="",F335=""),0,MAX(0,(E335*F335-G335+H335)*IFERROR(VLOOKUP(C335,Products!$A$2:$G$204,7,FALSE),0)))</f>
        <v>0</v>
      </c>
      <c r="J335" s="7"/>
      <c r="K335" s="7">
        <f>IF(OR(E335="",F335=""),0,E335*F335)</f>
        <v>0</v>
      </c>
      <c r="L335" s="7">
        <f>IF(E335="",0,K335-G335+H335-I335-J335)</f>
        <v>0</v>
      </c>
      <c r="M335" s="7">
        <f>IFERROR(E335*VLOOKUP(C335,Products!$A$2:$G$204,4,FALSE),0)</f>
        <v>0</v>
      </c>
      <c r="N335" s="7">
        <f>IFERROR(E335*VLOOKUP(C335,Products!$A$2:$G$204,5,FALSE),0)</f>
        <v>0</v>
      </c>
      <c r="O335" s="7">
        <f>IF(E335="",0,L335-M335-N335)</f>
        <v>0</v>
      </c>
      <c r="P335" s="6"/>
      <c r="Q335" s="6"/>
    </row>
    <row r="336" spans="1:17" x14ac:dyDescent="0.2">
      <c r="A336" s="12"/>
      <c r="B336" s="9"/>
      <c r="C336" s="9"/>
      <c r="D336" s="9" t="str">
        <f>IFERROR(VLOOKUP(C336,Products!$A$2:$G$204,2,FALSE),"")</f>
        <v/>
      </c>
      <c r="E336" s="13"/>
      <c r="F336" s="10">
        <f>IFERROR(VLOOKUP(C336,Products!$A$2:$G$204,6,FALSE),0)</f>
        <v>0</v>
      </c>
      <c r="G336" s="10"/>
      <c r="H336" s="10"/>
      <c r="I336" s="10">
        <f>IF(OR(E336="",F336=""),0,MAX(0,(E336*F336-G336+H336)*IFERROR(VLOOKUP(C336,Products!$A$2:$G$204,7,FALSE),0)))</f>
        <v>0</v>
      </c>
      <c r="J336" s="10"/>
      <c r="K336" s="10">
        <f>IF(OR(E336="",F336=""),0,E336*F336)</f>
        <v>0</v>
      </c>
      <c r="L336" s="10">
        <f>IF(E336="",0,K336-G336+H336-I336-J336)</f>
        <v>0</v>
      </c>
      <c r="M336" s="10">
        <f>IFERROR(E336*VLOOKUP(C336,Products!$A$2:$G$204,4,FALSE),0)</f>
        <v>0</v>
      </c>
      <c r="N336" s="10">
        <f>IFERROR(E336*VLOOKUP(C336,Products!$A$2:$G$204,5,FALSE),0)</f>
        <v>0</v>
      </c>
      <c r="O336" s="10">
        <f>IF(E336="",0,L336-M336-N336)</f>
        <v>0</v>
      </c>
      <c r="P336" s="9"/>
      <c r="Q336" s="9"/>
    </row>
    <row r="337" spans="1:17" x14ac:dyDescent="0.2">
      <c r="A337" s="14"/>
      <c r="B337" s="6"/>
      <c r="C337" s="6"/>
      <c r="D337" s="6" t="str">
        <f>IFERROR(VLOOKUP(C337,Products!$A$2:$G$204,2,FALSE),"")</f>
        <v/>
      </c>
      <c r="E337" s="15"/>
      <c r="F337" s="7">
        <f>IFERROR(VLOOKUP(C337,Products!$A$2:$G$204,6,FALSE),0)</f>
        <v>0</v>
      </c>
      <c r="G337" s="7"/>
      <c r="H337" s="7"/>
      <c r="I337" s="7">
        <f>IF(OR(E337="",F337=""),0,MAX(0,(E337*F337-G337+H337)*IFERROR(VLOOKUP(C337,Products!$A$2:$G$204,7,FALSE),0)))</f>
        <v>0</v>
      </c>
      <c r="J337" s="7"/>
      <c r="K337" s="7">
        <f>IF(OR(E337="",F337=""),0,E337*F337)</f>
        <v>0</v>
      </c>
      <c r="L337" s="7">
        <f>IF(E337="",0,K337-G337+H337-I337-J337)</f>
        <v>0</v>
      </c>
      <c r="M337" s="7">
        <f>IFERROR(E337*VLOOKUP(C337,Products!$A$2:$G$204,4,FALSE),0)</f>
        <v>0</v>
      </c>
      <c r="N337" s="7">
        <f>IFERROR(E337*VLOOKUP(C337,Products!$A$2:$G$204,5,FALSE),0)</f>
        <v>0</v>
      </c>
      <c r="O337" s="7">
        <f>IF(E337="",0,L337-M337-N337)</f>
        <v>0</v>
      </c>
      <c r="P337" s="6"/>
      <c r="Q337" s="6"/>
    </row>
    <row r="338" spans="1:17" x14ac:dyDescent="0.2">
      <c r="A338" s="12"/>
      <c r="B338" s="9"/>
      <c r="C338" s="9"/>
      <c r="D338" s="9" t="str">
        <f>IFERROR(VLOOKUP(C338,Products!$A$2:$G$204,2,FALSE),"")</f>
        <v/>
      </c>
      <c r="E338" s="13"/>
      <c r="F338" s="10">
        <f>IFERROR(VLOOKUP(C338,Products!$A$2:$G$204,6,FALSE),0)</f>
        <v>0</v>
      </c>
      <c r="G338" s="10"/>
      <c r="H338" s="10"/>
      <c r="I338" s="10">
        <f>IF(OR(E338="",F338=""),0,MAX(0,(E338*F338-G338+H338)*IFERROR(VLOOKUP(C338,Products!$A$2:$G$204,7,FALSE),0)))</f>
        <v>0</v>
      </c>
      <c r="J338" s="10"/>
      <c r="K338" s="10">
        <f>IF(OR(E338="",F338=""),0,E338*F338)</f>
        <v>0</v>
      </c>
      <c r="L338" s="10">
        <f>IF(E338="",0,K338-G338+H338-I338-J338)</f>
        <v>0</v>
      </c>
      <c r="M338" s="10">
        <f>IFERROR(E338*VLOOKUP(C338,Products!$A$2:$G$204,4,FALSE),0)</f>
        <v>0</v>
      </c>
      <c r="N338" s="10">
        <f>IFERROR(E338*VLOOKUP(C338,Products!$A$2:$G$204,5,FALSE),0)</f>
        <v>0</v>
      </c>
      <c r="O338" s="10">
        <f>IF(E338="",0,L338-M338-N338)</f>
        <v>0</v>
      </c>
      <c r="P338" s="9"/>
      <c r="Q338" s="9"/>
    </row>
    <row r="339" spans="1:17" x14ac:dyDescent="0.2">
      <c r="A339" s="14"/>
      <c r="B339" s="6"/>
      <c r="C339" s="6"/>
      <c r="D339" s="6" t="str">
        <f>IFERROR(VLOOKUP(C339,Products!$A$2:$G$204,2,FALSE),"")</f>
        <v/>
      </c>
      <c r="E339" s="15"/>
      <c r="F339" s="7">
        <f>IFERROR(VLOOKUP(C339,Products!$A$2:$G$204,6,FALSE),0)</f>
        <v>0</v>
      </c>
      <c r="G339" s="7"/>
      <c r="H339" s="7"/>
      <c r="I339" s="7">
        <f>IF(OR(E339="",F339=""),0,MAX(0,(E339*F339-G339+H339)*IFERROR(VLOOKUP(C339,Products!$A$2:$G$204,7,FALSE),0)))</f>
        <v>0</v>
      </c>
      <c r="J339" s="7"/>
      <c r="K339" s="7">
        <f>IF(OR(E339="",F339=""),0,E339*F339)</f>
        <v>0</v>
      </c>
      <c r="L339" s="7">
        <f>IF(E339="",0,K339-G339+H339-I339-J339)</f>
        <v>0</v>
      </c>
      <c r="M339" s="7">
        <f>IFERROR(E339*VLOOKUP(C339,Products!$A$2:$G$204,4,FALSE),0)</f>
        <v>0</v>
      </c>
      <c r="N339" s="7">
        <f>IFERROR(E339*VLOOKUP(C339,Products!$A$2:$G$204,5,FALSE),0)</f>
        <v>0</v>
      </c>
      <c r="O339" s="7">
        <f>IF(E339="",0,L339-M339-N339)</f>
        <v>0</v>
      </c>
      <c r="P339" s="6"/>
      <c r="Q339" s="6"/>
    </row>
    <row r="340" spans="1:17" x14ac:dyDescent="0.2">
      <c r="A340" s="12"/>
      <c r="B340" s="9"/>
      <c r="C340" s="9"/>
      <c r="D340" s="9" t="str">
        <f>IFERROR(VLOOKUP(C340,Products!$A$2:$G$204,2,FALSE),"")</f>
        <v/>
      </c>
      <c r="E340" s="13"/>
      <c r="F340" s="10">
        <f>IFERROR(VLOOKUP(C340,Products!$A$2:$G$204,6,FALSE),0)</f>
        <v>0</v>
      </c>
      <c r="G340" s="10"/>
      <c r="H340" s="10"/>
      <c r="I340" s="10">
        <f>IF(OR(E340="",F340=""),0,MAX(0,(E340*F340-G340+H340)*IFERROR(VLOOKUP(C340,Products!$A$2:$G$204,7,FALSE),0)))</f>
        <v>0</v>
      </c>
      <c r="J340" s="10"/>
      <c r="K340" s="10">
        <f>IF(OR(E340="",F340=""),0,E340*F340)</f>
        <v>0</v>
      </c>
      <c r="L340" s="10">
        <f>IF(E340="",0,K340-G340+H340-I340-J340)</f>
        <v>0</v>
      </c>
      <c r="M340" s="10">
        <f>IFERROR(E340*VLOOKUP(C340,Products!$A$2:$G$204,4,FALSE),0)</f>
        <v>0</v>
      </c>
      <c r="N340" s="10">
        <f>IFERROR(E340*VLOOKUP(C340,Products!$A$2:$G$204,5,FALSE),0)</f>
        <v>0</v>
      </c>
      <c r="O340" s="10">
        <f>IF(E340="",0,L340-M340-N340)</f>
        <v>0</v>
      </c>
      <c r="P340" s="9"/>
      <c r="Q340" s="9"/>
    </row>
    <row r="341" spans="1:17" x14ac:dyDescent="0.2">
      <c r="A341" s="14"/>
      <c r="B341" s="6"/>
      <c r="C341" s="6"/>
      <c r="D341" s="6" t="str">
        <f>IFERROR(VLOOKUP(C341,Products!$A$2:$G$204,2,FALSE),"")</f>
        <v/>
      </c>
      <c r="E341" s="15"/>
      <c r="F341" s="7">
        <f>IFERROR(VLOOKUP(C341,Products!$A$2:$G$204,6,FALSE),0)</f>
        <v>0</v>
      </c>
      <c r="G341" s="7"/>
      <c r="H341" s="7"/>
      <c r="I341" s="7">
        <f>IF(OR(E341="",F341=""),0,MAX(0,(E341*F341-G341+H341)*IFERROR(VLOOKUP(C341,Products!$A$2:$G$204,7,FALSE),0)))</f>
        <v>0</v>
      </c>
      <c r="J341" s="7"/>
      <c r="K341" s="7">
        <f>IF(OR(E341="",F341=""),0,E341*F341)</f>
        <v>0</v>
      </c>
      <c r="L341" s="7">
        <f>IF(E341="",0,K341-G341+H341-I341-J341)</f>
        <v>0</v>
      </c>
      <c r="M341" s="7">
        <f>IFERROR(E341*VLOOKUP(C341,Products!$A$2:$G$204,4,FALSE),0)</f>
        <v>0</v>
      </c>
      <c r="N341" s="7">
        <f>IFERROR(E341*VLOOKUP(C341,Products!$A$2:$G$204,5,FALSE),0)</f>
        <v>0</v>
      </c>
      <c r="O341" s="7">
        <f>IF(E341="",0,L341-M341-N341)</f>
        <v>0</v>
      </c>
      <c r="P341" s="6"/>
      <c r="Q341" s="6"/>
    </row>
    <row r="342" spans="1:17" x14ac:dyDescent="0.2">
      <c r="A342" s="12"/>
      <c r="B342" s="9"/>
      <c r="C342" s="9"/>
      <c r="D342" s="9" t="str">
        <f>IFERROR(VLOOKUP(C342,Products!$A$2:$G$204,2,FALSE),"")</f>
        <v/>
      </c>
      <c r="E342" s="13"/>
      <c r="F342" s="10">
        <f>IFERROR(VLOOKUP(C342,Products!$A$2:$G$204,6,FALSE),0)</f>
        <v>0</v>
      </c>
      <c r="G342" s="10"/>
      <c r="H342" s="10"/>
      <c r="I342" s="10">
        <f>IF(OR(E342="",F342=""),0,MAX(0,(E342*F342-G342+H342)*IFERROR(VLOOKUP(C342,Products!$A$2:$G$204,7,FALSE),0)))</f>
        <v>0</v>
      </c>
      <c r="J342" s="10"/>
      <c r="K342" s="10">
        <f>IF(OR(E342="",F342=""),0,E342*F342)</f>
        <v>0</v>
      </c>
      <c r="L342" s="10">
        <f>IF(E342="",0,K342-G342+H342-I342-J342)</f>
        <v>0</v>
      </c>
      <c r="M342" s="10">
        <f>IFERROR(E342*VLOOKUP(C342,Products!$A$2:$G$204,4,FALSE),0)</f>
        <v>0</v>
      </c>
      <c r="N342" s="10">
        <f>IFERROR(E342*VLOOKUP(C342,Products!$A$2:$G$204,5,FALSE),0)</f>
        <v>0</v>
      </c>
      <c r="O342" s="10">
        <f>IF(E342="",0,L342-M342-N342)</f>
        <v>0</v>
      </c>
      <c r="P342" s="9"/>
      <c r="Q342" s="9"/>
    </row>
    <row r="343" spans="1:17" x14ac:dyDescent="0.2">
      <c r="A343" s="14"/>
      <c r="B343" s="6"/>
      <c r="C343" s="6"/>
      <c r="D343" s="6" t="str">
        <f>IFERROR(VLOOKUP(C343,Products!$A$2:$G$204,2,FALSE),"")</f>
        <v/>
      </c>
      <c r="E343" s="15"/>
      <c r="F343" s="7">
        <f>IFERROR(VLOOKUP(C343,Products!$A$2:$G$204,6,FALSE),0)</f>
        <v>0</v>
      </c>
      <c r="G343" s="7"/>
      <c r="H343" s="7"/>
      <c r="I343" s="7">
        <f>IF(OR(E343="",F343=""),0,MAX(0,(E343*F343-G343+H343)*IFERROR(VLOOKUP(C343,Products!$A$2:$G$204,7,FALSE),0)))</f>
        <v>0</v>
      </c>
      <c r="J343" s="7"/>
      <c r="K343" s="7">
        <f>IF(OR(E343="",F343=""),0,E343*F343)</f>
        <v>0</v>
      </c>
      <c r="L343" s="7">
        <f>IF(E343="",0,K343-G343+H343-I343-J343)</f>
        <v>0</v>
      </c>
      <c r="M343" s="7">
        <f>IFERROR(E343*VLOOKUP(C343,Products!$A$2:$G$204,4,FALSE),0)</f>
        <v>0</v>
      </c>
      <c r="N343" s="7">
        <f>IFERROR(E343*VLOOKUP(C343,Products!$A$2:$G$204,5,FALSE),0)</f>
        <v>0</v>
      </c>
      <c r="O343" s="7">
        <f>IF(E343="",0,L343-M343-N343)</f>
        <v>0</v>
      </c>
      <c r="P343" s="6"/>
      <c r="Q343" s="6"/>
    </row>
    <row r="344" spans="1:17" x14ac:dyDescent="0.2">
      <c r="A344" s="12"/>
      <c r="B344" s="9"/>
      <c r="C344" s="9"/>
      <c r="D344" s="9" t="str">
        <f>IFERROR(VLOOKUP(C344,Products!$A$2:$G$204,2,FALSE),"")</f>
        <v/>
      </c>
      <c r="E344" s="13"/>
      <c r="F344" s="10">
        <f>IFERROR(VLOOKUP(C344,Products!$A$2:$G$204,6,FALSE),0)</f>
        <v>0</v>
      </c>
      <c r="G344" s="10"/>
      <c r="H344" s="10"/>
      <c r="I344" s="10">
        <f>IF(OR(E344="",F344=""),0,MAX(0,(E344*F344-G344+H344)*IFERROR(VLOOKUP(C344,Products!$A$2:$G$204,7,FALSE),0)))</f>
        <v>0</v>
      </c>
      <c r="J344" s="10"/>
      <c r="K344" s="10">
        <f>IF(OR(E344="",F344=""),0,E344*F344)</f>
        <v>0</v>
      </c>
      <c r="L344" s="10">
        <f>IF(E344="",0,K344-G344+H344-I344-J344)</f>
        <v>0</v>
      </c>
      <c r="M344" s="10">
        <f>IFERROR(E344*VLOOKUP(C344,Products!$A$2:$G$204,4,FALSE),0)</f>
        <v>0</v>
      </c>
      <c r="N344" s="10">
        <f>IFERROR(E344*VLOOKUP(C344,Products!$A$2:$G$204,5,FALSE),0)</f>
        <v>0</v>
      </c>
      <c r="O344" s="10">
        <f>IF(E344="",0,L344-M344-N344)</f>
        <v>0</v>
      </c>
      <c r="P344" s="9"/>
      <c r="Q344" s="9"/>
    </row>
    <row r="345" spans="1:17" x14ac:dyDescent="0.2">
      <c r="A345" s="14"/>
      <c r="B345" s="6"/>
      <c r="C345" s="6"/>
      <c r="D345" s="6" t="str">
        <f>IFERROR(VLOOKUP(C345,Products!$A$2:$G$204,2,FALSE),"")</f>
        <v/>
      </c>
      <c r="E345" s="15"/>
      <c r="F345" s="7">
        <f>IFERROR(VLOOKUP(C345,Products!$A$2:$G$204,6,FALSE),0)</f>
        <v>0</v>
      </c>
      <c r="G345" s="7"/>
      <c r="H345" s="7"/>
      <c r="I345" s="7">
        <f>IF(OR(E345="",F345=""),0,MAX(0,(E345*F345-G345+H345)*IFERROR(VLOOKUP(C345,Products!$A$2:$G$204,7,FALSE),0)))</f>
        <v>0</v>
      </c>
      <c r="J345" s="7"/>
      <c r="K345" s="7">
        <f>IF(OR(E345="",F345=""),0,E345*F345)</f>
        <v>0</v>
      </c>
      <c r="L345" s="7">
        <f>IF(E345="",0,K345-G345+H345-I345-J345)</f>
        <v>0</v>
      </c>
      <c r="M345" s="7">
        <f>IFERROR(E345*VLOOKUP(C345,Products!$A$2:$G$204,4,FALSE),0)</f>
        <v>0</v>
      </c>
      <c r="N345" s="7">
        <f>IFERROR(E345*VLOOKUP(C345,Products!$A$2:$G$204,5,FALSE),0)</f>
        <v>0</v>
      </c>
      <c r="O345" s="7">
        <f>IF(E345="",0,L345-M345-N345)</f>
        <v>0</v>
      </c>
      <c r="P345" s="6"/>
      <c r="Q345" s="6"/>
    </row>
    <row r="346" spans="1:17" x14ac:dyDescent="0.2">
      <c r="A346" s="12"/>
      <c r="B346" s="9"/>
      <c r="C346" s="9"/>
      <c r="D346" s="9" t="str">
        <f>IFERROR(VLOOKUP(C346,Products!$A$2:$G$204,2,FALSE),"")</f>
        <v/>
      </c>
      <c r="E346" s="13"/>
      <c r="F346" s="10">
        <f>IFERROR(VLOOKUP(C346,Products!$A$2:$G$204,6,FALSE),0)</f>
        <v>0</v>
      </c>
      <c r="G346" s="10"/>
      <c r="H346" s="10"/>
      <c r="I346" s="10">
        <f>IF(OR(E346="",F346=""),0,MAX(0,(E346*F346-G346+H346)*IFERROR(VLOOKUP(C346,Products!$A$2:$G$204,7,FALSE),0)))</f>
        <v>0</v>
      </c>
      <c r="J346" s="10"/>
      <c r="K346" s="10">
        <f>IF(OR(E346="",F346=""),0,E346*F346)</f>
        <v>0</v>
      </c>
      <c r="L346" s="10">
        <f>IF(E346="",0,K346-G346+H346-I346-J346)</f>
        <v>0</v>
      </c>
      <c r="M346" s="10">
        <f>IFERROR(E346*VLOOKUP(C346,Products!$A$2:$G$204,4,FALSE),0)</f>
        <v>0</v>
      </c>
      <c r="N346" s="10">
        <f>IFERROR(E346*VLOOKUP(C346,Products!$A$2:$G$204,5,FALSE),0)</f>
        <v>0</v>
      </c>
      <c r="O346" s="10">
        <f>IF(E346="",0,L346-M346-N346)</f>
        <v>0</v>
      </c>
      <c r="P346" s="9"/>
      <c r="Q346" s="9"/>
    </row>
    <row r="347" spans="1:17" x14ac:dyDescent="0.2">
      <c r="A347" s="14"/>
      <c r="B347" s="6"/>
      <c r="C347" s="6"/>
      <c r="D347" s="6" t="str">
        <f>IFERROR(VLOOKUP(C347,Products!$A$2:$G$204,2,FALSE),"")</f>
        <v/>
      </c>
      <c r="E347" s="15"/>
      <c r="F347" s="7">
        <f>IFERROR(VLOOKUP(C347,Products!$A$2:$G$204,6,FALSE),0)</f>
        <v>0</v>
      </c>
      <c r="G347" s="7"/>
      <c r="H347" s="7"/>
      <c r="I347" s="7">
        <f>IF(OR(E347="",F347=""),0,MAX(0,(E347*F347-G347+H347)*IFERROR(VLOOKUP(C347,Products!$A$2:$G$204,7,FALSE),0)))</f>
        <v>0</v>
      </c>
      <c r="J347" s="7"/>
      <c r="K347" s="7">
        <f>IF(OR(E347="",F347=""),0,E347*F347)</f>
        <v>0</v>
      </c>
      <c r="L347" s="7">
        <f>IF(E347="",0,K347-G347+H347-I347-J347)</f>
        <v>0</v>
      </c>
      <c r="M347" s="7">
        <f>IFERROR(E347*VLOOKUP(C347,Products!$A$2:$G$204,4,FALSE),0)</f>
        <v>0</v>
      </c>
      <c r="N347" s="7">
        <f>IFERROR(E347*VLOOKUP(C347,Products!$A$2:$G$204,5,FALSE),0)</f>
        <v>0</v>
      </c>
      <c r="O347" s="7">
        <f>IF(E347="",0,L347-M347-N347)</f>
        <v>0</v>
      </c>
      <c r="P347" s="6"/>
      <c r="Q347" s="6"/>
    </row>
    <row r="348" spans="1:17" x14ac:dyDescent="0.2">
      <c r="A348" s="12"/>
      <c r="B348" s="9"/>
      <c r="C348" s="9"/>
      <c r="D348" s="9" t="str">
        <f>IFERROR(VLOOKUP(C348,Products!$A$2:$G$204,2,FALSE),"")</f>
        <v/>
      </c>
      <c r="E348" s="13"/>
      <c r="F348" s="10">
        <f>IFERROR(VLOOKUP(C348,Products!$A$2:$G$204,6,FALSE),0)</f>
        <v>0</v>
      </c>
      <c r="G348" s="10"/>
      <c r="H348" s="10"/>
      <c r="I348" s="10">
        <f>IF(OR(E348="",F348=""),0,MAX(0,(E348*F348-G348+H348)*IFERROR(VLOOKUP(C348,Products!$A$2:$G$204,7,FALSE),0)))</f>
        <v>0</v>
      </c>
      <c r="J348" s="10"/>
      <c r="K348" s="10">
        <f>IF(OR(E348="",F348=""),0,E348*F348)</f>
        <v>0</v>
      </c>
      <c r="L348" s="10">
        <f>IF(E348="",0,K348-G348+H348-I348-J348)</f>
        <v>0</v>
      </c>
      <c r="M348" s="10">
        <f>IFERROR(E348*VLOOKUP(C348,Products!$A$2:$G$204,4,FALSE),0)</f>
        <v>0</v>
      </c>
      <c r="N348" s="10">
        <f>IFERROR(E348*VLOOKUP(C348,Products!$A$2:$G$204,5,FALSE),0)</f>
        <v>0</v>
      </c>
      <c r="O348" s="10">
        <f>IF(E348="",0,L348-M348-N348)</f>
        <v>0</v>
      </c>
      <c r="P348" s="9"/>
      <c r="Q348" s="9"/>
    </row>
    <row r="349" spans="1:17" x14ac:dyDescent="0.2">
      <c r="A349" s="14"/>
      <c r="B349" s="6"/>
      <c r="C349" s="6"/>
      <c r="D349" s="6" t="str">
        <f>IFERROR(VLOOKUP(C349,Products!$A$2:$G$204,2,FALSE),"")</f>
        <v/>
      </c>
      <c r="E349" s="15"/>
      <c r="F349" s="7">
        <f>IFERROR(VLOOKUP(C349,Products!$A$2:$G$204,6,FALSE),0)</f>
        <v>0</v>
      </c>
      <c r="G349" s="7"/>
      <c r="H349" s="7"/>
      <c r="I349" s="7">
        <f>IF(OR(E349="",F349=""),0,MAX(0,(E349*F349-G349+H349)*IFERROR(VLOOKUP(C349,Products!$A$2:$G$204,7,FALSE),0)))</f>
        <v>0</v>
      </c>
      <c r="J349" s="7"/>
      <c r="K349" s="7">
        <f>IF(OR(E349="",F349=""),0,E349*F349)</f>
        <v>0</v>
      </c>
      <c r="L349" s="7">
        <f>IF(E349="",0,K349-G349+H349-I349-J349)</f>
        <v>0</v>
      </c>
      <c r="M349" s="7">
        <f>IFERROR(E349*VLOOKUP(C349,Products!$A$2:$G$204,4,FALSE),0)</f>
        <v>0</v>
      </c>
      <c r="N349" s="7">
        <f>IFERROR(E349*VLOOKUP(C349,Products!$A$2:$G$204,5,FALSE),0)</f>
        <v>0</v>
      </c>
      <c r="O349" s="7">
        <f>IF(E349="",0,L349-M349-N349)</f>
        <v>0</v>
      </c>
      <c r="P349" s="6"/>
      <c r="Q349" s="6"/>
    </row>
    <row r="350" spans="1:17" x14ac:dyDescent="0.2">
      <c r="A350" s="12"/>
      <c r="B350" s="9"/>
      <c r="C350" s="9"/>
      <c r="D350" s="9" t="str">
        <f>IFERROR(VLOOKUP(C350,Products!$A$2:$G$204,2,FALSE),"")</f>
        <v/>
      </c>
      <c r="E350" s="13"/>
      <c r="F350" s="10">
        <f>IFERROR(VLOOKUP(C350,Products!$A$2:$G$204,6,FALSE),0)</f>
        <v>0</v>
      </c>
      <c r="G350" s="10"/>
      <c r="H350" s="10"/>
      <c r="I350" s="10">
        <f>IF(OR(E350="",F350=""),0,MAX(0,(E350*F350-G350+H350)*IFERROR(VLOOKUP(C350,Products!$A$2:$G$204,7,FALSE),0)))</f>
        <v>0</v>
      </c>
      <c r="J350" s="10"/>
      <c r="K350" s="10">
        <f>IF(OR(E350="",F350=""),0,E350*F350)</f>
        <v>0</v>
      </c>
      <c r="L350" s="10">
        <f>IF(E350="",0,K350-G350+H350-I350-J350)</f>
        <v>0</v>
      </c>
      <c r="M350" s="10">
        <f>IFERROR(E350*VLOOKUP(C350,Products!$A$2:$G$204,4,FALSE),0)</f>
        <v>0</v>
      </c>
      <c r="N350" s="10">
        <f>IFERROR(E350*VLOOKUP(C350,Products!$A$2:$G$204,5,FALSE),0)</f>
        <v>0</v>
      </c>
      <c r="O350" s="10">
        <f>IF(E350="",0,L350-M350-N350)</f>
        <v>0</v>
      </c>
      <c r="P350" s="9"/>
      <c r="Q350" s="9"/>
    </row>
    <row r="351" spans="1:17" x14ac:dyDescent="0.2">
      <c r="A351" s="14"/>
      <c r="B351" s="6"/>
      <c r="C351" s="6"/>
      <c r="D351" s="6" t="str">
        <f>IFERROR(VLOOKUP(C351,Products!$A$2:$G$204,2,FALSE),"")</f>
        <v/>
      </c>
      <c r="E351" s="15"/>
      <c r="F351" s="7">
        <f>IFERROR(VLOOKUP(C351,Products!$A$2:$G$204,6,FALSE),0)</f>
        <v>0</v>
      </c>
      <c r="G351" s="7"/>
      <c r="H351" s="7"/>
      <c r="I351" s="7">
        <f>IF(OR(E351="",F351=""),0,MAX(0,(E351*F351-G351+H351)*IFERROR(VLOOKUP(C351,Products!$A$2:$G$204,7,FALSE),0)))</f>
        <v>0</v>
      </c>
      <c r="J351" s="7"/>
      <c r="K351" s="7">
        <f>IF(OR(E351="",F351=""),0,E351*F351)</f>
        <v>0</v>
      </c>
      <c r="L351" s="7">
        <f>IF(E351="",0,K351-G351+H351-I351-J351)</f>
        <v>0</v>
      </c>
      <c r="M351" s="7">
        <f>IFERROR(E351*VLOOKUP(C351,Products!$A$2:$G$204,4,FALSE),0)</f>
        <v>0</v>
      </c>
      <c r="N351" s="7">
        <f>IFERROR(E351*VLOOKUP(C351,Products!$A$2:$G$204,5,FALSE),0)</f>
        <v>0</v>
      </c>
      <c r="O351" s="7">
        <f>IF(E351="",0,L351-M351-N351)</f>
        <v>0</v>
      </c>
      <c r="P351" s="6"/>
      <c r="Q351" s="6"/>
    </row>
    <row r="352" spans="1:17" x14ac:dyDescent="0.2">
      <c r="A352" s="12"/>
      <c r="B352" s="9"/>
      <c r="C352" s="9"/>
      <c r="D352" s="9" t="str">
        <f>IFERROR(VLOOKUP(C352,Products!$A$2:$G$204,2,FALSE),"")</f>
        <v/>
      </c>
      <c r="E352" s="13"/>
      <c r="F352" s="10">
        <f>IFERROR(VLOOKUP(C352,Products!$A$2:$G$204,6,FALSE),0)</f>
        <v>0</v>
      </c>
      <c r="G352" s="10"/>
      <c r="H352" s="10"/>
      <c r="I352" s="10">
        <f>IF(OR(E352="",F352=""),0,MAX(0,(E352*F352-G352+H352)*IFERROR(VLOOKUP(C352,Products!$A$2:$G$204,7,FALSE),0)))</f>
        <v>0</v>
      </c>
      <c r="J352" s="10"/>
      <c r="K352" s="10">
        <f>IF(OR(E352="",F352=""),0,E352*F352)</f>
        <v>0</v>
      </c>
      <c r="L352" s="10">
        <f>IF(E352="",0,K352-G352+H352-I352-J352)</f>
        <v>0</v>
      </c>
      <c r="M352" s="10">
        <f>IFERROR(E352*VLOOKUP(C352,Products!$A$2:$G$204,4,FALSE),0)</f>
        <v>0</v>
      </c>
      <c r="N352" s="10">
        <f>IFERROR(E352*VLOOKUP(C352,Products!$A$2:$G$204,5,FALSE),0)</f>
        <v>0</v>
      </c>
      <c r="O352" s="10">
        <f>IF(E352="",0,L352-M352-N352)</f>
        <v>0</v>
      </c>
      <c r="P352" s="9"/>
      <c r="Q352" s="9"/>
    </row>
    <row r="353" spans="1:17" x14ac:dyDescent="0.2">
      <c r="A353" s="14"/>
      <c r="B353" s="6"/>
      <c r="C353" s="6"/>
      <c r="D353" s="6" t="str">
        <f>IFERROR(VLOOKUP(C353,Products!$A$2:$G$204,2,FALSE),"")</f>
        <v/>
      </c>
      <c r="E353" s="15"/>
      <c r="F353" s="7">
        <f>IFERROR(VLOOKUP(C353,Products!$A$2:$G$204,6,FALSE),0)</f>
        <v>0</v>
      </c>
      <c r="G353" s="7"/>
      <c r="H353" s="7"/>
      <c r="I353" s="7">
        <f>IF(OR(E353="",F353=""),0,MAX(0,(E353*F353-G353+H353)*IFERROR(VLOOKUP(C353,Products!$A$2:$G$204,7,FALSE),0)))</f>
        <v>0</v>
      </c>
      <c r="J353" s="7"/>
      <c r="K353" s="7">
        <f>IF(OR(E353="",F353=""),0,E353*F353)</f>
        <v>0</v>
      </c>
      <c r="L353" s="7">
        <f>IF(E353="",0,K353-G353+H353-I353-J353)</f>
        <v>0</v>
      </c>
      <c r="M353" s="7">
        <f>IFERROR(E353*VLOOKUP(C353,Products!$A$2:$G$204,4,FALSE),0)</f>
        <v>0</v>
      </c>
      <c r="N353" s="7">
        <f>IFERROR(E353*VLOOKUP(C353,Products!$A$2:$G$204,5,FALSE),0)</f>
        <v>0</v>
      </c>
      <c r="O353" s="7">
        <f>IF(E353="",0,L353-M353-N353)</f>
        <v>0</v>
      </c>
      <c r="P353" s="6"/>
      <c r="Q353" s="6"/>
    </row>
    <row r="354" spans="1:17" x14ac:dyDescent="0.2">
      <c r="A354" s="12"/>
      <c r="B354" s="9"/>
      <c r="C354" s="9"/>
      <c r="D354" s="9" t="str">
        <f>IFERROR(VLOOKUP(C354,Products!$A$2:$G$204,2,FALSE),"")</f>
        <v/>
      </c>
      <c r="E354" s="13"/>
      <c r="F354" s="10">
        <f>IFERROR(VLOOKUP(C354,Products!$A$2:$G$204,6,FALSE),0)</f>
        <v>0</v>
      </c>
      <c r="G354" s="10"/>
      <c r="H354" s="10"/>
      <c r="I354" s="10">
        <f>IF(OR(E354="",F354=""),0,MAX(0,(E354*F354-G354+H354)*IFERROR(VLOOKUP(C354,Products!$A$2:$G$204,7,FALSE),0)))</f>
        <v>0</v>
      </c>
      <c r="J354" s="10"/>
      <c r="K354" s="10">
        <f>IF(OR(E354="",F354=""),0,E354*F354)</f>
        <v>0</v>
      </c>
      <c r="L354" s="10">
        <f>IF(E354="",0,K354-G354+H354-I354-J354)</f>
        <v>0</v>
      </c>
      <c r="M354" s="10">
        <f>IFERROR(E354*VLOOKUP(C354,Products!$A$2:$G$204,4,FALSE),0)</f>
        <v>0</v>
      </c>
      <c r="N354" s="10">
        <f>IFERROR(E354*VLOOKUP(C354,Products!$A$2:$G$204,5,FALSE),0)</f>
        <v>0</v>
      </c>
      <c r="O354" s="10">
        <f>IF(E354="",0,L354-M354-N354)</f>
        <v>0</v>
      </c>
      <c r="P354" s="9"/>
      <c r="Q354" s="9"/>
    </row>
    <row r="355" spans="1:17" x14ac:dyDescent="0.2">
      <c r="A355" s="14"/>
      <c r="B355" s="6"/>
      <c r="C355" s="6"/>
      <c r="D355" s="6" t="str">
        <f>IFERROR(VLOOKUP(C355,Products!$A$2:$G$204,2,FALSE),"")</f>
        <v/>
      </c>
      <c r="E355" s="15"/>
      <c r="F355" s="7">
        <f>IFERROR(VLOOKUP(C355,Products!$A$2:$G$204,6,FALSE),0)</f>
        <v>0</v>
      </c>
      <c r="G355" s="7"/>
      <c r="H355" s="7"/>
      <c r="I355" s="7">
        <f>IF(OR(E355="",F355=""),0,MAX(0,(E355*F355-G355+H355)*IFERROR(VLOOKUP(C355,Products!$A$2:$G$204,7,FALSE),0)))</f>
        <v>0</v>
      </c>
      <c r="J355" s="7"/>
      <c r="K355" s="7">
        <f>IF(OR(E355="",F355=""),0,E355*F355)</f>
        <v>0</v>
      </c>
      <c r="L355" s="7">
        <f>IF(E355="",0,K355-G355+H355-I355-J355)</f>
        <v>0</v>
      </c>
      <c r="M355" s="7">
        <f>IFERROR(E355*VLOOKUP(C355,Products!$A$2:$G$204,4,FALSE),0)</f>
        <v>0</v>
      </c>
      <c r="N355" s="7">
        <f>IFERROR(E355*VLOOKUP(C355,Products!$A$2:$G$204,5,FALSE),0)</f>
        <v>0</v>
      </c>
      <c r="O355" s="7">
        <f>IF(E355="",0,L355-M355-N355)</f>
        <v>0</v>
      </c>
      <c r="P355" s="6"/>
      <c r="Q355" s="6"/>
    </row>
    <row r="356" spans="1:17" x14ac:dyDescent="0.2">
      <c r="A356" s="12"/>
      <c r="B356" s="9"/>
      <c r="C356" s="9"/>
      <c r="D356" s="9" t="str">
        <f>IFERROR(VLOOKUP(C356,Products!$A$2:$G$204,2,FALSE),"")</f>
        <v/>
      </c>
      <c r="E356" s="13"/>
      <c r="F356" s="10">
        <f>IFERROR(VLOOKUP(C356,Products!$A$2:$G$204,6,FALSE),0)</f>
        <v>0</v>
      </c>
      <c r="G356" s="10"/>
      <c r="H356" s="10"/>
      <c r="I356" s="10">
        <f>IF(OR(E356="",F356=""),0,MAX(0,(E356*F356-G356+H356)*IFERROR(VLOOKUP(C356,Products!$A$2:$G$204,7,FALSE),0)))</f>
        <v>0</v>
      </c>
      <c r="J356" s="10"/>
      <c r="K356" s="10">
        <f>IF(OR(E356="",F356=""),0,E356*F356)</f>
        <v>0</v>
      </c>
      <c r="L356" s="10">
        <f>IF(E356="",0,K356-G356+H356-I356-J356)</f>
        <v>0</v>
      </c>
      <c r="M356" s="10">
        <f>IFERROR(E356*VLOOKUP(C356,Products!$A$2:$G$204,4,FALSE),0)</f>
        <v>0</v>
      </c>
      <c r="N356" s="10">
        <f>IFERROR(E356*VLOOKUP(C356,Products!$A$2:$G$204,5,FALSE),0)</f>
        <v>0</v>
      </c>
      <c r="O356" s="10">
        <f>IF(E356="",0,L356-M356-N356)</f>
        <v>0</v>
      </c>
      <c r="P356" s="9"/>
      <c r="Q356" s="9"/>
    </row>
    <row r="357" spans="1:17" x14ac:dyDescent="0.2">
      <c r="A357" s="14"/>
      <c r="B357" s="6"/>
      <c r="C357" s="6"/>
      <c r="D357" s="6" t="str">
        <f>IFERROR(VLOOKUP(C357,Products!$A$2:$G$204,2,FALSE),"")</f>
        <v/>
      </c>
      <c r="E357" s="15"/>
      <c r="F357" s="7">
        <f>IFERROR(VLOOKUP(C357,Products!$A$2:$G$204,6,FALSE),0)</f>
        <v>0</v>
      </c>
      <c r="G357" s="7"/>
      <c r="H357" s="7"/>
      <c r="I357" s="7">
        <f>IF(OR(E357="",F357=""),0,MAX(0,(E357*F357-G357+H357)*IFERROR(VLOOKUP(C357,Products!$A$2:$G$204,7,FALSE),0)))</f>
        <v>0</v>
      </c>
      <c r="J357" s="7"/>
      <c r="K357" s="7">
        <f>IF(OR(E357="",F357=""),0,E357*F357)</f>
        <v>0</v>
      </c>
      <c r="L357" s="7">
        <f>IF(E357="",0,K357-G357+H357-I357-J357)</f>
        <v>0</v>
      </c>
      <c r="M357" s="7">
        <f>IFERROR(E357*VLOOKUP(C357,Products!$A$2:$G$204,4,FALSE),0)</f>
        <v>0</v>
      </c>
      <c r="N357" s="7">
        <f>IFERROR(E357*VLOOKUP(C357,Products!$A$2:$G$204,5,FALSE),0)</f>
        <v>0</v>
      </c>
      <c r="O357" s="7">
        <f>IF(E357="",0,L357-M357-N357)</f>
        <v>0</v>
      </c>
      <c r="P357" s="6"/>
      <c r="Q357" s="6"/>
    </row>
    <row r="358" spans="1:17" x14ac:dyDescent="0.2">
      <c r="A358" s="12"/>
      <c r="B358" s="9"/>
      <c r="C358" s="9"/>
      <c r="D358" s="9" t="str">
        <f>IFERROR(VLOOKUP(C358,Products!$A$2:$G$204,2,FALSE),"")</f>
        <v/>
      </c>
      <c r="E358" s="13"/>
      <c r="F358" s="10">
        <f>IFERROR(VLOOKUP(C358,Products!$A$2:$G$204,6,FALSE),0)</f>
        <v>0</v>
      </c>
      <c r="G358" s="10"/>
      <c r="H358" s="10"/>
      <c r="I358" s="10">
        <f>IF(OR(E358="",F358=""),0,MAX(0,(E358*F358-G358+H358)*IFERROR(VLOOKUP(C358,Products!$A$2:$G$204,7,FALSE),0)))</f>
        <v>0</v>
      </c>
      <c r="J358" s="10"/>
      <c r="K358" s="10">
        <f>IF(OR(E358="",F358=""),0,E358*F358)</f>
        <v>0</v>
      </c>
      <c r="L358" s="10">
        <f>IF(E358="",0,K358-G358+H358-I358-J358)</f>
        <v>0</v>
      </c>
      <c r="M358" s="10">
        <f>IFERROR(E358*VLOOKUP(C358,Products!$A$2:$G$204,4,FALSE),0)</f>
        <v>0</v>
      </c>
      <c r="N358" s="10">
        <f>IFERROR(E358*VLOOKUP(C358,Products!$A$2:$G$204,5,FALSE),0)</f>
        <v>0</v>
      </c>
      <c r="O358" s="10">
        <f>IF(E358="",0,L358-M358-N358)</f>
        <v>0</v>
      </c>
      <c r="P358" s="9"/>
      <c r="Q358" s="9"/>
    </row>
    <row r="359" spans="1:17" x14ac:dyDescent="0.2">
      <c r="A359" s="14"/>
      <c r="B359" s="6"/>
      <c r="C359" s="6"/>
      <c r="D359" s="6" t="str">
        <f>IFERROR(VLOOKUP(C359,Products!$A$2:$G$204,2,FALSE),"")</f>
        <v/>
      </c>
      <c r="E359" s="15"/>
      <c r="F359" s="7">
        <f>IFERROR(VLOOKUP(C359,Products!$A$2:$G$204,6,FALSE),0)</f>
        <v>0</v>
      </c>
      <c r="G359" s="7"/>
      <c r="H359" s="7"/>
      <c r="I359" s="7">
        <f>IF(OR(E359="",F359=""),0,MAX(0,(E359*F359-G359+H359)*IFERROR(VLOOKUP(C359,Products!$A$2:$G$204,7,FALSE),0)))</f>
        <v>0</v>
      </c>
      <c r="J359" s="7"/>
      <c r="K359" s="7">
        <f>IF(OR(E359="",F359=""),0,E359*F359)</f>
        <v>0</v>
      </c>
      <c r="L359" s="7">
        <f>IF(E359="",0,K359-G359+H359-I359-J359)</f>
        <v>0</v>
      </c>
      <c r="M359" s="7">
        <f>IFERROR(E359*VLOOKUP(C359,Products!$A$2:$G$204,4,FALSE),0)</f>
        <v>0</v>
      </c>
      <c r="N359" s="7">
        <f>IFERROR(E359*VLOOKUP(C359,Products!$A$2:$G$204,5,FALSE),0)</f>
        <v>0</v>
      </c>
      <c r="O359" s="7">
        <f>IF(E359="",0,L359-M359-N359)</f>
        <v>0</v>
      </c>
      <c r="P359" s="6"/>
      <c r="Q359" s="6"/>
    </row>
    <row r="360" spans="1:17" x14ac:dyDescent="0.2">
      <c r="A360" s="12"/>
      <c r="B360" s="9"/>
      <c r="C360" s="9"/>
      <c r="D360" s="9" t="str">
        <f>IFERROR(VLOOKUP(C360,Products!$A$2:$G$204,2,FALSE),"")</f>
        <v/>
      </c>
      <c r="E360" s="13"/>
      <c r="F360" s="10">
        <f>IFERROR(VLOOKUP(C360,Products!$A$2:$G$204,6,FALSE),0)</f>
        <v>0</v>
      </c>
      <c r="G360" s="10"/>
      <c r="H360" s="10"/>
      <c r="I360" s="10">
        <f>IF(OR(E360="",F360=""),0,MAX(0,(E360*F360-G360+H360)*IFERROR(VLOOKUP(C360,Products!$A$2:$G$204,7,FALSE),0)))</f>
        <v>0</v>
      </c>
      <c r="J360" s="10"/>
      <c r="K360" s="10">
        <f>IF(OR(E360="",F360=""),0,E360*F360)</f>
        <v>0</v>
      </c>
      <c r="L360" s="10">
        <f>IF(E360="",0,K360-G360+H360-I360-J360)</f>
        <v>0</v>
      </c>
      <c r="M360" s="10">
        <f>IFERROR(E360*VLOOKUP(C360,Products!$A$2:$G$204,4,FALSE),0)</f>
        <v>0</v>
      </c>
      <c r="N360" s="10">
        <f>IFERROR(E360*VLOOKUP(C360,Products!$A$2:$G$204,5,FALSE),0)</f>
        <v>0</v>
      </c>
      <c r="O360" s="10">
        <f>IF(E360="",0,L360-M360-N360)</f>
        <v>0</v>
      </c>
      <c r="P360" s="9"/>
      <c r="Q360" s="9"/>
    </row>
    <row r="361" spans="1:17" x14ac:dyDescent="0.2">
      <c r="A361" s="14"/>
      <c r="B361" s="6"/>
      <c r="C361" s="6"/>
      <c r="D361" s="6" t="str">
        <f>IFERROR(VLOOKUP(C361,Products!$A$2:$G$204,2,FALSE),"")</f>
        <v/>
      </c>
      <c r="E361" s="15"/>
      <c r="F361" s="7">
        <f>IFERROR(VLOOKUP(C361,Products!$A$2:$G$204,6,FALSE),0)</f>
        <v>0</v>
      </c>
      <c r="G361" s="7"/>
      <c r="H361" s="7"/>
      <c r="I361" s="7">
        <f>IF(OR(E361="",F361=""),0,MAX(0,(E361*F361-G361+H361)*IFERROR(VLOOKUP(C361,Products!$A$2:$G$204,7,FALSE),0)))</f>
        <v>0</v>
      </c>
      <c r="J361" s="7"/>
      <c r="K361" s="7">
        <f>IF(OR(E361="",F361=""),0,E361*F361)</f>
        <v>0</v>
      </c>
      <c r="L361" s="7">
        <f>IF(E361="",0,K361-G361+H361-I361-J361)</f>
        <v>0</v>
      </c>
      <c r="M361" s="7">
        <f>IFERROR(E361*VLOOKUP(C361,Products!$A$2:$G$204,4,FALSE),0)</f>
        <v>0</v>
      </c>
      <c r="N361" s="7">
        <f>IFERROR(E361*VLOOKUP(C361,Products!$A$2:$G$204,5,FALSE),0)</f>
        <v>0</v>
      </c>
      <c r="O361" s="7">
        <f>IF(E361="",0,L361-M361-N361)</f>
        <v>0</v>
      </c>
      <c r="P361" s="6"/>
      <c r="Q361" s="6"/>
    </row>
    <row r="362" spans="1:17" x14ac:dyDescent="0.2">
      <c r="A362" s="12"/>
      <c r="B362" s="9"/>
      <c r="C362" s="9"/>
      <c r="D362" s="9" t="str">
        <f>IFERROR(VLOOKUP(C362,Products!$A$2:$G$204,2,FALSE),"")</f>
        <v/>
      </c>
      <c r="E362" s="13"/>
      <c r="F362" s="10">
        <f>IFERROR(VLOOKUP(C362,Products!$A$2:$G$204,6,FALSE),0)</f>
        <v>0</v>
      </c>
      <c r="G362" s="10"/>
      <c r="H362" s="10"/>
      <c r="I362" s="10">
        <f>IF(OR(E362="",F362=""),0,MAX(0,(E362*F362-G362+H362)*IFERROR(VLOOKUP(C362,Products!$A$2:$G$204,7,FALSE),0)))</f>
        <v>0</v>
      </c>
      <c r="J362" s="10"/>
      <c r="K362" s="10">
        <f>IF(OR(E362="",F362=""),0,E362*F362)</f>
        <v>0</v>
      </c>
      <c r="L362" s="10">
        <f>IF(E362="",0,K362-G362+H362-I362-J362)</f>
        <v>0</v>
      </c>
      <c r="M362" s="10">
        <f>IFERROR(E362*VLOOKUP(C362,Products!$A$2:$G$204,4,FALSE),0)</f>
        <v>0</v>
      </c>
      <c r="N362" s="10">
        <f>IFERROR(E362*VLOOKUP(C362,Products!$A$2:$G$204,5,FALSE),0)</f>
        <v>0</v>
      </c>
      <c r="O362" s="10">
        <f>IF(E362="",0,L362-M362-N362)</f>
        <v>0</v>
      </c>
      <c r="P362" s="9"/>
      <c r="Q362" s="9"/>
    </row>
    <row r="363" spans="1:17" x14ac:dyDescent="0.2">
      <c r="A363" s="14"/>
      <c r="B363" s="6"/>
      <c r="C363" s="6"/>
      <c r="D363" s="6" t="str">
        <f>IFERROR(VLOOKUP(C363,Products!$A$2:$G$204,2,FALSE),"")</f>
        <v/>
      </c>
      <c r="E363" s="15"/>
      <c r="F363" s="7">
        <f>IFERROR(VLOOKUP(C363,Products!$A$2:$G$204,6,FALSE),0)</f>
        <v>0</v>
      </c>
      <c r="G363" s="7"/>
      <c r="H363" s="7"/>
      <c r="I363" s="7">
        <f>IF(OR(E363="",F363=""),0,MAX(0,(E363*F363-G363+H363)*IFERROR(VLOOKUP(C363,Products!$A$2:$G$204,7,FALSE),0)))</f>
        <v>0</v>
      </c>
      <c r="J363" s="7"/>
      <c r="K363" s="7">
        <f>IF(OR(E363="",F363=""),0,E363*F363)</f>
        <v>0</v>
      </c>
      <c r="L363" s="7">
        <f>IF(E363="",0,K363-G363+H363-I363-J363)</f>
        <v>0</v>
      </c>
      <c r="M363" s="7">
        <f>IFERROR(E363*VLOOKUP(C363,Products!$A$2:$G$204,4,FALSE),0)</f>
        <v>0</v>
      </c>
      <c r="N363" s="7">
        <f>IFERROR(E363*VLOOKUP(C363,Products!$A$2:$G$204,5,FALSE),0)</f>
        <v>0</v>
      </c>
      <c r="O363" s="7">
        <f>IF(E363="",0,L363-M363-N363)</f>
        <v>0</v>
      </c>
      <c r="P363" s="6"/>
      <c r="Q363" s="6"/>
    </row>
    <row r="364" spans="1:17" x14ac:dyDescent="0.2">
      <c r="A364" s="12"/>
      <c r="B364" s="9"/>
      <c r="C364" s="9"/>
      <c r="D364" s="9" t="str">
        <f>IFERROR(VLOOKUP(C364,Products!$A$2:$G$204,2,FALSE),"")</f>
        <v/>
      </c>
      <c r="E364" s="13"/>
      <c r="F364" s="10">
        <f>IFERROR(VLOOKUP(C364,Products!$A$2:$G$204,6,FALSE),0)</f>
        <v>0</v>
      </c>
      <c r="G364" s="10"/>
      <c r="H364" s="10"/>
      <c r="I364" s="10">
        <f>IF(OR(E364="",F364=""),0,MAX(0,(E364*F364-G364+H364)*IFERROR(VLOOKUP(C364,Products!$A$2:$G$204,7,FALSE),0)))</f>
        <v>0</v>
      </c>
      <c r="J364" s="10"/>
      <c r="K364" s="10">
        <f>IF(OR(E364="",F364=""),0,E364*F364)</f>
        <v>0</v>
      </c>
      <c r="L364" s="10">
        <f>IF(E364="",0,K364-G364+H364-I364-J364)</f>
        <v>0</v>
      </c>
      <c r="M364" s="10">
        <f>IFERROR(E364*VLOOKUP(C364,Products!$A$2:$G$204,4,FALSE),0)</f>
        <v>0</v>
      </c>
      <c r="N364" s="10">
        <f>IFERROR(E364*VLOOKUP(C364,Products!$A$2:$G$204,5,FALSE),0)</f>
        <v>0</v>
      </c>
      <c r="O364" s="10">
        <f>IF(E364="",0,L364-M364-N364)</f>
        <v>0</v>
      </c>
      <c r="P364" s="9"/>
      <c r="Q364" s="9"/>
    </row>
    <row r="365" spans="1:17" x14ac:dyDescent="0.2">
      <c r="A365" s="14"/>
      <c r="B365" s="6"/>
      <c r="C365" s="6"/>
      <c r="D365" s="6" t="str">
        <f>IFERROR(VLOOKUP(C365,Products!$A$2:$G$204,2,FALSE),"")</f>
        <v/>
      </c>
      <c r="E365" s="15"/>
      <c r="F365" s="7">
        <f>IFERROR(VLOOKUP(C365,Products!$A$2:$G$204,6,FALSE),0)</f>
        <v>0</v>
      </c>
      <c r="G365" s="7"/>
      <c r="H365" s="7"/>
      <c r="I365" s="7">
        <f>IF(OR(E365="",F365=""),0,MAX(0,(E365*F365-G365+H365)*IFERROR(VLOOKUP(C365,Products!$A$2:$G$204,7,FALSE),0)))</f>
        <v>0</v>
      </c>
      <c r="J365" s="7"/>
      <c r="K365" s="7">
        <f>IF(OR(E365="",F365=""),0,E365*F365)</f>
        <v>0</v>
      </c>
      <c r="L365" s="7">
        <f>IF(E365="",0,K365-G365+H365-I365-J365)</f>
        <v>0</v>
      </c>
      <c r="M365" s="7">
        <f>IFERROR(E365*VLOOKUP(C365,Products!$A$2:$G$204,4,FALSE),0)</f>
        <v>0</v>
      </c>
      <c r="N365" s="7">
        <f>IFERROR(E365*VLOOKUP(C365,Products!$A$2:$G$204,5,FALSE),0)</f>
        <v>0</v>
      </c>
      <c r="O365" s="7">
        <f>IF(E365="",0,L365-M365-N365)</f>
        <v>0</v>
      </c>
      <c r="P365" s="6"/>
      <c r="Q365" s="6"/>
    </row>
    <row r="366" spans="1:17" x14ac:dyDescent="0.2">
      <c r="A366" s="12"/>
      <c r="B366" s="9"/>
      <c r="C366" s="9"/>
      <c r="D366" s="9" t="str">
        <f>IFERROR(VLOOKUP(C366,Products!$A$2:$G$204,2,FALSE),"")</f>
        <v/>
      </c>
      <c r="E366" s="13"/>
      <c r="F366" s="10">
        <f>IFERROR(VLOOKUP(C366,Products!$A$2:$G$204,6,FALSE),0)</f>
        <v>0</v>
      </c>
      <c r="G366" s="10"/>
      <c r="H366" s="10"/>
      <c r="I366" s="10">
        <f>IF(OR(E366="",F366=""),0,MAX(0,(E366*F366-G366+H366)*IFERROR(VLOOKUP(C366,Products!$A$2:$G$204,7,FALSE),0)))</f>
        <v>0</v>
      </c>
      <c r="J366" s="10"/>
      <c r="K366" s="10">
        <f>IF(OR(E366="",F366=""),0,E366*F366)</f>
        <v>0</v>
      </c>
      <c r="L366" s="10">
        <f>IF(E366="",0,K366-G366+H366-I366-J366)</f>
        <v>0</v>
      </c>
      <c r="M366" s="10">
        <f>IFERROR(E366*VLOOKUP(C366,Products!$A$2:$G$204,4,FALSE),0)</f>
        <v>0</v>
      </c>
      <c r="N366" s="10">
        <f>IFERROR(E366*VLOOKUP(C366,Products!$A$2:$G$204,5,FALSE),0)</f>
        <v>0</v>
      </c>
      <c r="O366" s="10">
        <f>IF(E366="",0,L366-M366-N366)</f>
        <v>0</v>
      </c>
      <c r="P366" s="9"/>
      <c r="Q366" s="9"/>
    </row>
    <row r="367" spans="1:17" x14ac:dyDescent="0.2">
      <c r="A367" s="14"/>
      <c r="B367" s="6"/>
      <c r="C367" s="6"/>
      <c r="D367" s="6" t="str">
        <f>IFERROR(VLOOKUP(C367,Products!$A$2:$G$204,2,FALSE),"")</f>
        <v/>
      </c>
      <c r="E367" s="15"/>
      <c r="F367" s="7">
        <f>IFERROR(VLOOKUP(C367,Products!$A$2:$G$204,6,FALSE),0)</f>
        <v>0</v>
      </c>
      <c r="G367" s="7"/>
      <c r="H367" s="7"/>
      <c r="I367" s="7">
        <f>IF(OR(E367="",F367=""),0,MAX(0,(E367*F367-G367+H367)*IFERROR(VLOOKUP(C367,Products!$A$2:$G$204,7,FALSE),0)))</f>
        <v>0</v>
      </c>
      <c r="J367" s="7"/>
      <c r="K367" s="7">
        <f>IF(OR(E367="",F367=""),0,E367*F367)</f>
        <v>0</v>
      </c>
      <c r="L367" s="7">
        <f>IF(E367="",0,K367-G367+H367-I367-J367)</f>
        <v>0</v>
      </c>
      <c r="M367" s="7">
        <f>IFERROR(E367*VLOOKUP(C367,Products!$A$2:$G$204,4,FALSE),0)</f>
        <v>0</v>
      </c>
      <c r="N367" s="7">
        <f>IFERROR(E367*VLOOKUP(C367,Products!$A$2:$G$204,5,FALSE),0)</f>
        <v>0</v>
      </c>
      <c r="O367" s="7">
        <f>IF(E367="",0,L367-M367-N367)</f>
        <v>0</v>
      </c>
      <c r="P367" s="6"/>
      <c r="Q367" s="6"/>
    </row>
    <row r="368" spans="1:17" x14ac:dyDescent="0.2">
      <c r="A368" s="12"/>
      <c r="B368" s="9"/>
      <c r="C368" s="9"/>
      <c r="D368" s="9" t="str">
        <f>IFERROR(VLOOKUP(C368,Products!$A$2:$G$204,2,FALSE),"")</f>
        <v/>
      </c>
      <c r="E368" s="13"/>
      <c r="F368" s="10">
        <f>IFERROR(VLOOKUP(C368,Products!$A$2:$G$204,6,FALSE),0)</f>
        <v>0</v>
      </c>
      <c r="G368" s="10"/>
      <c r="H368" s="10"/>
      <c r="I368" s="10">
        <f>IF(OR(E368="",F368=""),0,MAX(0,(E368*F368-G368+H368)*IFERROR(VLOOKUP(C368,Products!$A$2:$G$204,7,FALSE),0)))</f>
        <v>0</v>
      </c>
      <c r="J368" s="10"/>
      <c r="K368" s="10">
        <f>IF(OR(E368="",F368=""),0,E368*F368)</f>
        <v>0</v>
      </c>
      <c r="L368" s="10">
        <f>IF(E368="",0,K368-G368+H368-I368-J368)</f>
        <v>0</v>
      </c>
      <c r="M368" s="10">
        <f>IFERROR(E368*VLOOKUP(C368,Products!$A$2:$G$204,4,FALSE),0)</f>
        <v>0</v>
      </c>
      <c r="N368" s="10">
        <f>IFERROR(E368*VLOOKUP(C368,Products!$A$2:$G$204,5,FALSE),0)</f>
        <v>0</v>
      </c>
      <c r="O368" s="10">
        <f>IF(E368="",0,L368-M368-N368)</f>
        <v>0</v>
      </c>
      <c r="P368" s="9"/>
      <c r="Q368" s="9"/>
    </row>
    <row r="369" spans="1:17" x14ac:dyDescent="0.2">
      <c r="A369" s="14"/>
      <c r="B369" s="6"/>
      <c r="C369" s="6"/>
      <c r="D369" s="6" t="str">
        <f>IFERROR(VLOOKUP(C369,Products!$A$2:$G$204,2,FALSE),"")</f>
        <v/>
      </c>
      <c r="E369" s="15"/>
      <c r="F369" s="7">
        <f>IFERROR(VLOOKUP(C369,Products!$A$2:$G$204,6,FALSE),0)</f>
        <v>0</v>
      </c>
      <c r="G369" s="7"/>
      <c r="H369" s="7"/>
      <c r="I369" s="7">
        <f>IF(OR(E369="",F369=""),0,MAX(0,(E369*F369-G369+H369)*IFERROR(VLOOKUP(C369,Products!$A$2:$G$204,7,FALSE),0)))</f>
        <v>0</v>
      </c>
      <c r="J369" s="7"/>
      <c r="K369" s="7">
        <f>IF(OR(E369="",F369=""),0,E369*F369)</f>
        <v>0</v>
      </c>
      <c r="L369" s="7">
        <f>IF(E369="",0,K369-G369+H369-I369-J369)</f>
        <v>0</v>
      </c>
      <c r="M369" s="7">
        <f>IFERROR(E369*VLOOKUP(C369,Products!$A$2:$G$204,4,FALSE),0)</f>
        <v>0</v>
      </c>
      <c r="N369" s="7">
        <f>IFERROR(E369*VLOOKUP(C369,Products!$A$2:$G$204,5,FALSE),0)</f>
        <v>0</v>
      </c>
      <c r="O369" s="7">
        <f>IF(E369="",0,L369-M369-N369)</f>
        <v>0</v>
      </c>
      <c r="P369" s="6"/>
      <c r="Q369" s="6"/>
    </row>
    <row r="370" spans="1:17" x14ac:dyDescent="0.2">
      <c r="A370" s="12"/>
      <c r="B370" s="9"/>
      <c r="C370" s="9"/>
      <c r="D370" s="9" t="str">
        <f>IFERROR(VLOOKUP(C370,Products!$A$2:$G$204,2,FALSE),"")</f>
        <v/>
      </c>
      <c r="E370" s="13"/>
      <c r="F370" s="10">
        <f>IFERROR(VLOOKUP(C370,Products!$A$2:$G$204,6,FALSE),0)</f>
        <v>0</v>
      </c>
      <c r="G370" s="10"/>
      <c r="H370" s="10"/>
      <c r="I370" s="10">
        <f>IF(OR(E370="",F370=""),0,MAX(0,(E370*F370-G370+H370)*IFERROR(VLOOKUP(C370,Products!$A$2:$G$204,7,FALSE),0)))</f>
        <v>0</v>
      </c>
      <c r="J370" s="10"/>
      <c r="K370" s="10">
        <f>IF(OR(E370="",F370=""),0,E370*F370)</f>
        <v>0</v>
      </c>
      <c r="L370" s="10">
        <f>IF(E370="",0,K370-G370+H370-I370-J370)</f>
        <v>0</v>
      </c>
      <c r="M370" s="10">
        <f>IFERROR(E370*VLOOKUP(C370,Products!$A$2:$G$204,4,FALSE),0)</f>
        <v>0</v>
      </c>
      <c r="N370" s="10">
        <f>IFERROR(E370*VLOOKUP(C370,Products!$A$2:$G$204,5,FALSE),0)</f>
        <v>0</v>
      </c>
      <c r="O370" s="10">
        <f>IF(E370="",0,L370-M370-N370)</f>
        <v>0</v>
      </c>
      <c r="P370" s="9"/>
      <c r="Q370" s="9"/>
    </row>
    <row r="371" spans="1:17" x14ac:dyDescent="0.2">
      <c r="A371" s="14"/>
      <c r="B371" s="6"/>
      <c r="C371" s="6"/>
      <c r="D371" s="6" t="str">
        <f>IFERROR(VLOOKUP(C371,Products!$A$2:$G$204,2,FALSE),"")</f>
        <v/>
      </c>
      <c r="E371" s="15"/>
      <c r="F371" s="7">
        <f>IFERROR(VLOOKUP(C371,Products!$A$2:$G$204,6,FALSE),0)</f>
        <v>0</v>
      </c>
      <c r="G371" s="7"/>
      <c r="H371" s="7"/>
      <c r="I371" s="7">
        <f>IF(OR(E371="",F371=""),0,MAX(0,(E371*F371-G371+H371)*IFERROR(VLOOKUP(C371,Products!$A$2:$G$204,7,FALSE),0)))</f>
        <v>0</v>
      </c>
      <c r="J371" s="7"/>
      <c r="K371" s="7">
        <f>IF(OR(E371="",F371=""),0,E371*F371)</f>
        <v>0</v>
      </c>
      <c r="L371" s="7">
        <f>IF(E371="",0,K371-G371+H371-I371-J371)</f>
        <v>0</v>
      </c>
      <c r="M371" s="7">
        <f>IFERROR(E371*VLOOKUP(C371,Products!$A$2:$G$204,4,FALSE),0)</f>
        <v>0</v>
      </c>
      <c r="N371" s="7">
        <f>IFERROR(E371*VLOOKUP(C371,Products!$A$2:$G$204,5,FALSE),0)</f>
        <v>0</v>
      </c>
      <c r="O371" s="7">
        <f>IF(E371="",0,L371-M371-N371)</f>
        <v>0</v>
      </c>
      <c r="P371" s="6"/>
      <c r="Q371" s="6"/>
    </row>
    <row r="372" spans="1:17" x14ac:dyDescent="0.2">
      <c r="A372" s="12"/>
      <c r="B372" s="9"/>
      <c r="C372" s="9"/>
      <c r="D372" s="9" t="str">
        <f>IFERROR(VLOOKUP(C372,Products!$A$2:$G$204,2,FALSE),"")</f>
        <v/>
      </c>
      <c r="E372" s="13"/>
      <c r="F372" s="10">
        <f>IFERROR(VLOOKUP(C372,Products!$A$2:$G$204,6,FALSE),0)</f>
        <v>0</v>
      </c>
      <c r="G372" s="10"/>
      <c r="H372" s="10"/>
      <c r="I372" s="10">
        <f>IF(OR(E372="",F372=""),0,MAX(0,(E372*F372-G372+H372)*IFERROR(VLOOKUP(C372,Products!$A$2:$G$204,7,FALSE),0)))</f>
        <v>0</v>
      </c>
      <c r="J372" s="10"/>
      <c r="K372" s="10">
        <f>IF(OR(E372="",F372=""),0,E372*F372)</f>
        <v>0</v>
      </c>
      <c r="L372" s="10">
        <f>IF(E372="",0,K372-G372+H372-I372-J372)</f>
        <v>0</v>
      </c>
      <c r="M372" s="10">
        <f>IFERROR(E372*VLOOKUP(C372,Products!$A$2:$G$204,4,FALSE),0)</f>
        <v>0</v>
      </c>
      <c r="N372" s="10">
        <f>IFERROR(E372*VLOOKUP(C372,Products!$A$2:$G$204,5,FALSE),0)</f>
        <v>0</v>
      </c>
      <c r="O372" s="10">
        <f>IF(E372="",0,L372-M372-N372)</f>
        <v>0</v>
      </c>
      <c r="P372" s="9"/>
      <c r="Q372" s="9"/>
    </row>
    <row r="373" spans="1:17" x14ac:dyDescent="0.2">
      <c r="A373" s="14"/>
      <c r="B373" s="6"/>
      <c r="C373" s="6"/>
      <c r="D373" s="6" t="str">
        <f>IFERROR(VLOOKUP(C373,Products!$A$2:$G$204,2,FALSE),"")</f>
        <v/>
      </c>
      <c r="E373" s="15"/>
      <c r="F373" s="7">
        <f>IFERROR(VLOOKUP(C373,Products!$A$2:$G$204,6,FALSE),0)</f>
        <v>0</v>
      </c>
      <c r="G373" s="7"/>
      <c r="H373" s="7"/>
      <c r="I373" s="7">
        <f>IF(OR(E373="",F373=""),0,MAX(0,(E373*F373-G373+H373)*IFERROR(VLOOKUP(C373,Products!$A$2:$G$204,7,FALSE),0)))</f>
        <v>0</v>
      </c>
      <c r="J373" s="7"/>
      <c r="K373" s="7">
        <f>IF(OR(E373="",F373=""),0,E373*F373)</f>
        <v>0</v>
      </c>
      <c r="L373" s="7">
        <f>IF(E373="",0,K373-G373+H373-I373-J373)</f>
        <v>0</v>
      </c>
      <c r="M373" s="7">
        <f>IFERROR(E373*VLOOKUP(C373,Products!$A$2:$G$204,4,FALSE),0)</f>
        <v>0</v>
      </c>
      <c r="N373" s="7">
        <f>IFERROR(E373*VLOOKUP(C373,Products!$A$2:$G$204,5,FALSE),0)</f>
        <v>0</v>
      </c>
      <c r="O373" s="7">
        <f>IF(E373="",0,L373-M373-N373)</f>
        <v>0</v>
      </c>
      <c r="P373" s="6"/>
      <c r="Q373" s="6"/>
    </row>
    <row r="374" spans="1:17" x14ac:dyDescent="0.2">
      <c r="A374" s="12"/>
      <c r="B374" s="9"/>
      <c r="C374" s="9"/>
      <c r="D374" s="9" t="str">
        <f>IFERROR(VLOOKUP(C374,Products!$A$2:$G$204,2,FALSE),"")</f>
        <v/>
      </c>
      <c r="E374" s="13"/>
      <c r="F374" s="10">
        <f>IFERROR(VLOOKUP(C374,Products!$A$2:$G$204,6,FALSE),0)</f>
        <v>0</v>
      </c>
      <c r="G374" s="10"/>
      <c r="H374" s="10"/>
      <c r="I374" s="10">
        <f>IF(OR(E374="",F374=""),0,MAX(0,(E374*F374-G374+H374)*IFERROR(VLOOKUP(C374,Products!$A$2:$G$204,7,FALSE),0)))</f>
        <v>0</v>
      </c>
      <c r="J374" s="10"/>
      <c r="K374" s="10">
        <f>IF(OR(E374="",F374=""),0,E374*F374)</f>
        <v>0</v>
      </c>
      <c r="L374" s="10">
        <f>IF(E374="",0,K374-G374+H374-I374-J374)</f>
        <v>0</v>
      </c>
      <c r="M374" s="10">
        <f>IFERROR(E374*VLOOKUP(C374,Products!$A$2:$G$204,4,FALSE),0)</f>
        <v>0</v>
      </c>
      <c r="N374" s="10">
        <f>IFERROR(E374*VLOOKUP(C374,Products!$A$2:$G$204,5,FALSE),0)</f>
        <v>0</v>
      </c>
      <c r="O374" s="10">
        <f>IF(E374="",0,L374-M374-N374)</f>
        <v>0</v>
      </c>
      <c r="P374" s="9"/>
      <c r="Q374" s="9"/>
    </row>
    <row r="375" spans="1:17" x14ac:dyDescent="0.2">
      <c r="A375" s="14"/>
      <c r="B375" s="6"/>
      <c r="C375" s="6"/>
      <c r="D375" s="6" t="str">
        <f>IFERROR(VLOOKUP(C375,Products!$A$2:$G$204,2,FALSE),"")</f>
        <v/>
      </c>
      <c r="E375" s="15"/>
      <c r="F375" s="7">
        <f>IFERROR(VLOOKUP(C375,Products!$A$2:$G$204,6,FALSE),0)</f>
        <v>0</v>
      </c>
      <c r="G375" s="7"/>
      <c r="H375" s="7"/>
      <c r="I375" s="7">
        <f>IF(OR(E375="",F375=""),0,MAX(0,(E375*F375-G375+H375)*IFERROR(VLOOKUP(C375,Products!$A$2:$G$204,7,FALSE),0)))</f>
        <v>0</v>
      </c>
      <c r="J375" s="7"/>
      <c r="K375" s="7">
        <f>IF(OR(E375="",F375=""),0,E375*F375)</f>
        <v>0</v>
      </c>
      <c r="L375" s="7">
        <f>IF(E375="",0,K375-G375+H375-I375-J375)</f>
        <v>0</v>
      </c>
      <c r="M375" s="7">
        <f>IFERROR(E375*VLOOKUP(C375,Products!$A$2:$G$204,4,FALSE),0)</f>
        <v>0</v>
      </c>
      <c r="N375" s="7">
        <f>IFERROR(E375*VLOOKUP(C375,Products!$A$2:$G$204,5,FALSE),0)</f>
        <v>0</v>
      </c>
      <c r="O375" s="7">
        <f>IF(E375="",0,L375-M375-N375)</f>
        <v>0</v>
      </c>
      <c r="P375" s="6"/>
      <c r="Q375" s="6"/>
    </row>
    <row r="376" spans="1:17" x14ac:dyDescent="0.2">
      <c r="A376" s="12"/>
      <c r="B376" s="9"/>
      <c r="C376" s="9"/>
      <c r="D376" s="9" t="str">
        <f>IFERROR(VLOOKUP(C376,Products!$A$2:$G$204,2,FALSE),"")</f>
        <v/>
      </c>
      <c r="E376" s="13"/>
      <c r="F376" s="10">
        <f>IFERROR(VLOOKUP(C376,Products!$A$2:$G$204,6,FALSE),0)</f>
        <v>0</v>
      </c>
      <c r="G376" s="10"/>
      <c r="H376" s="10"/>
      <c r="I376" s="10">
        <f>IF(OR(E376="",F376=""),0,MAX(0,(E376*F376-G376+H376)*IFERROR(VLOOKUP(C376,Products!$A$2:$G$204,7,FALSE),0)))</f>
        <v>0</v>
      </c>
      <c r="J376" s="10"/>
      <c r="K376" s="10">
        <f>IF(OR(E376="",F376=""),0,E376*F376)</f>
        <v>0</v>
      </c>
      <c r="L376" s="10">
        <f>IF(E376="",0,K376-G376+H376-I376-J376)</f>
        <v>0</v>
      </c>
      <c r="M376" s="10">
        <f>IFERROR(E376*VLOOKUP(C376,Products!$A$2:$G$204,4,FALSE),0)</f>
        <v>0</v>
      </c>
      <c r="N376" s="10">
        <f>IFERROR(E376*VLOOKUP(C376,Products!$A$2:$G$204,5,FALSE),0)</f>
        <v>0</v>
      </c>
      <c r="O376" s="10">
        <f>IF(E376="",0,L376-M376-N376)</f>
        <v>0</v>
      </c>
      <c r="P376" s="9"/>
      <c r="Q376" s="9"/>
    </row>
    <row r="377" spans="1:17" x14ac:dyDescent="0.2">
      <c r="A377" s="14"/>
      <c r="B377" s="6"/>
      <c r="C377" s="6"/>
      <c r="D377" s="6" t="str">
        <f>IFERROR(VLOOKUP(C377,Products!$A$2:$G$204,2,FALSE),"")</f>
        <v/>
      </c>
      <c r="E377" s="15"/>
      <c r="F377" s="7">
        <f>IFERROR(VLOOKUP(C377,Products!$A$2:$G$204,6,FALSE),0)</f>
        <v>0</v>
      </c>
      <c r="G377" s="7"/>
      <c r="H377" s="7"/>
      <c r="I377" s="7">
        <f>IF(OR(E377="",F377=""),0,MAX(0,(E377*F377-G377+H377)*IFERROR(VLOOKUP(C377,Products!$A$2:$G$204,7,FALSE),0)))</f>
        <v>0</v>
      </c>
      <c r="J377" s="7"/>
      <c r="K377" s="7">
        <f>IF(OR(E377="",F377=""),0,E377*F377)</f>
        <v>0</v>
      </c>
      <c r="L377" s="7">
        <f>IF(E377="",0,K377-G377+H377-I377-J377)</f>
        <v>0</v>
      </c>
      <c r="M377" s="7">
        <f>IFERROR(E377*VLOOKUP(C377,Products!$A$2:$G$204,4,FALSE),0)</f>
        <v>0</v>
      </c>
      <c r="N377" s="7">
        <f>IFERROR(E377*VLOOKUP(C377,Products!$A$2:$G$204,5,FALSE),0)</f>
        <v>0</v>
      </c>
      <c r="O377" s="7">
        <f>IF(E377="",0,L377-M377-N377)</f>
        <v>0</v>
      </c>
      <c r="P377" s="6"/>
      <c r="Q377" s="6"/>
    </row>
    <row r="378" spans="1:17" x14ac:dyDescent="0.2">
      <c r="A378" s="12"/>
      <c r="B378" s="9"/>
      <c r="C378" s="9"/>
      <c r="D378" s="9" t="str">
        <f>IFERROR(VLOOKUP(C378,Products!$A$2:$G$204,2,FALSE),"")</f>
        <v/>
      </c>
      <c r="E378" s="13"/>
      <c r="F378" s="10">
        <f>IFERROR(VLOOKUP(C378,Products!$A$2:$G$204,6,FALSE),0)</f>
        <v>0</v>
      </c>
      <c r="G378" s="10"/>
      <c r="H378" s="10"/>
      <c r="I378" s="10">
        <f>IF(OR(E378="",F378=""),0,MAX(0,(E378*F378-G378+H378)*IFERROR(VLOOKUP(C378,Products!$A$2:$G$204,7,FALSE),0)))</f>
        <v>0</v>
      </c>
      <c r="J378" s="10"/>
      <c r="K378" s="10">
        <f>IF(OR(E378="",F378=""),0,E378*F378)</f>
        <v>0</v>
      </c>
      <c r="L378" s="10">
        <f>IF(E378="",0,K378-G378+H378-I378-J378)</f>
        <v>0</v>
      </c>
      <c r="M378" s="10">
        <f>IFERROR(E378*VLOOKUP(C378,Products!$A$2:$G$204,4,FALSE),0)</f>
        <v>0</v>
      </c>
      <c r="N378" s="10">
        <f>IFERROR(E378*VLOOKUP(C378,Products!$A$2:$G$204,5,FALSE),0)</f>
        <v>0</v>
      </c>
      <c r="O378" s="10">
        <f>IF(E378="",0,L378-M378-N378)</f>
        <v>0</v>
      </c>
      <c r="P378" s="9"/>
      <c r="Q378" s="9"/>
    </row>
    <row r="379" spans="1:17" x14ac:dyDescent="0.2">
      <c r="A379" s="14"/>
      <c r="B379" s="6"/>
      <c r="C379" s="6"/>
      <c r="D379" s="6" t="str">
        <f>IFERROR(VLOOKUP(C379,Products!$A$2:$G$204,2,FALSE),"")</f>
        <v/>
      </c>
      <c r="E379" s="15"/>
      <c r="F379" s="7">
        <f>IFERROR(VLOOKUP(C379,Products!$A$2:$G$204,6,FALSE),0)</f>
        <v>0</v>
      </c>
      <c r="G379" s="7"/>
      <c r="H379" s="7"/>
      <c r="I379" s="7">
        <f>IF(OR(E379="",F379=""),0,MAX(0,(E379*F379-G379+H379)*IFERROR(VLOOKUP(C379,Products!$A$2:$G$204,7,FALSE),0)))</f>
        <v>0</v>
      </c>
      <c r="J379" s="7"/>
      <c r="K379" s="7">
        <f>IF(OR(E379="",F379=""),0,E379*F379)</f>
        <v>0</v>
      </c>
      <c r="L379" s="7">
        <f>IF(E379="",0,K379-G379+H379-I379-J379)</f>
        <v>0</v>
      </c>
      <c r="M379" s="7">
        <f>IFERROR(E379*VLOOKUP(C379,Products!$A$2:$G$204,4,FALSE),0)</f>
        <v>0</v>
      </c>
      <c r="N379" s="7">
        <f>IFERROR(E379*VLOOKUP(C379,Products!$A$2:$G$204,5,FALSE),0)</f>
        <v>0</v>
      </c>
      <c r="O379" s="7">
        <f>IF(E379="",0,L379-M379-N379)</f>
        <v>0</v>
      </c>
      <c r="P379" s="6"/>
      <c r="Q379" s="6"/>
    </row>
    <row r="380" spans="1:17" x14ac:dyDescent="0.2">
      <c r="A380" s="12"/>
      <c r="B380" s="9"/>
      <c r="C380" s="9"/>
      <c r="D380" s="9" t="str">
        <f>IFERROR(VLOOKUP(C380,Products!$A$2:$G$204,2,FALSE),"")</f>
        <v/>
      </c>
      <c r="E380" s="13"/>
      <c r="F380" s="10">
        <f>IFERROR(VLOOKUP(C380,Products!$A$2:$G$204,6,FALSE),0)</f>
        <v>0</v>
      </c>
      <c r="G380" s="10"/>
      <c r="H380" s="10"/>
      <c r="I380" s="10">
        <f>IF(OR(E380="",F380=""),0,MAX(0,(E380*F380-G380+H380)*IFERROR(VLOOKUP(C380,Products!$A$2:$G$204,7,FALSE),0)))</f>
        <v>0</v>
      </c>
      <c r="J380" s="10"/>
      <c r="K380" s="10">
        <f>IF(OR(E380="",F380=""),0,E380*F380)</f>
        <v>0</v>
      </c>
      <c r="L380" s="10">
        <f>IF(E380="",0,K380-G380+H380-I380-J380)</f>
        <v>0</v>
      </c>
      <c r="M380" s="10">
        <f>IFERROR(E380*VLOOKUP(C380,Products!$A$2:$G$204,4,FALSE),0)</f>
        <v>0</v>
      </c>
      <c r="N380" s="10">
        <f>IFERROR(E380*VLOOKUP(C380,Products!$A$2:$G$204,5,FALSE),0)</f>
        <v>0</v>
      </c>
      <c r="O380" s="10">
        <f>IF(E380="",0,L380-M380-N380)</f>
        <v>0</v>
      </c>
      <c r="P380" s="9"/>
      <c r="Q380" s="9"/>
    </row>
    <row r="381" spans="1:17" x14ac:dyDescent="0.2">
      <c r="A381" s="14"/>
      <c r="B381" s="6"/>
      <c r="C381" s="6"/>
      <c r="D381" s="6" t="str">
        <f>IFERROR(VLOOKUP(C381,Products!$A$2:$G$204,2,FALSE),"")</f>
        <v/>
      </c>
      <c r="E381" s="15"/>
      <c r="F381" s="7">
        <f>IFERROR(VLOOKUP(C381,Products!$A$2:$G$204,6,FALSE),0)</f>
        <v>0</v>
      </c>
      <c r="G381" s="7"/>
      <c r="H381" s="7"/>
      <c r="I381" s="7">
        <f>IF(OR(E381="",F381=""),0,MAX(0,(E381*F381-G381+H381)*IFERROR(VLOOKUP(C381,Products!$A$2:$G$204,7,FALSE),0)))</f>
        <v>0</v>
      </c>
      <c r="J381" s="7"/>
      <c r="K381" s="7">
        <f>IF(OR(E381="",F381=""),0,E381*F381)</f>
        <v>0</v>
      </c>
      <c r="L381" s="7">
        <f>IF(E381="",0,K381-G381+H381-I381-J381)</f>
        <v>0</v>
      </c>
      <c r="M381" s="7">
        <f>IFERROR(E381*VLOOKUP(C381,Products!$A$2:$G$204,4,FALSE),0)</f>
        <v>0</v>
      </c>
      <c r="N381" s="7">
        <f>IFERROR(E381*VLOOKUP(C381,Products!$A$2:$G$204,5,FALSE),0)</f>
        <v>0</v>
      </c>
      <c r="O381" s="7">
        <f>IF(E381="",0,L381-M381-N381)</f>
        <v>0</v>
      </c>
      <c r="P381" s="6"/>
      <c r="Q381" s="6"/>
    </row>
    <row r="382" spans="1:17" x14ac:dyDescent="0.2">
      <c r="A382" s="12"/>
      <c r="B382" s="9"/>
      <c r="C382" s="9"/>
      <c r="D382" s="9" t="str">
        <f>IFERROR(VLOOKUP(C382,Products!$A$2:$G$204,2,FALSE),"")</f>
        <v/>
      </c>
      <c r="E382" s="13"/>
      <c r="F382" s="10">
        <f>IFERROR(VLOOKUP(C382,Products!$A$2:$G$204,6,FALSE),0)</f>
        <v>0</v>
      </c>
      <c r="G382" s="10"/>
      <c r="H382" s="10"/>
      <c r="I382" s="10">
        <f>IF(OR(E382="",F382=""),0,MAX(0,(E382*F382-G382+H382)*IFERROR(VLOOKUP(C382,Products!$A$2:$G$204,7,FALSE),0)))</f>
        <v>0</v>
      </c>
      <c r="J382" s="10"/>
      <c r="K382" s="10">
        <f>IF(OR(E382="",F382=""),0,E382*F382)</f>
        <v>0</v>
      </c>
      <c r="L382" s="10">
        <f>IF(E382="",0,K382-G382+H382-I382-J382)</f>
        <v>0</v>
      </c>
      <c r="M382" s="10">
        <f>IFERROR(E382*VLOOKUP(C382,Products!$A$2:$G$204,4,FALSE),0)</f>
        <v>0</v>
      </c>
      <c r="N382" s="10">
        <f>IFERROR(E382*VLOOKUP(C382,Products!$A$2:$G$204,5,FALSE),0)</f>
        <v>0</v>
      </c>
      <c r="O382" s="10">
        <f>IF(E382="",0,L382-M382-N382)</f>
        <v>0</v>
      </c>
      <c r="P382" s="9"/>
      <c r="Q382" s="9"/>
    </row>
    <row r="383" spans="1:17" x14ac:dyDescent="0.2">
      <c r="A383" s="14"/>
      <c r="B383" s="6"/>
      <c r="C383" s="6"/>
      <c r="D383" s="6" t="str">
        <f>IFERROR(VLOOKUP(C383,Products!$A$2:$G$204,2,FALSE),"")</f>
        <v/>
      </c>
      <c r="E383" s="15"/>
      <c r="F383" s="7">
        <f>IFERROR(VLOOKUP(C383,Products!$A$2:$G$204,6,FALSE),0)</f>
        <v>0</v>
      </c>
      <c r="G383" s="7"/>
      <c r="H383" s="7"/>
      <c r="I383" s="7">
        <f>IF(OR(E383="",F383=""),0,MAX(0,(E383*F383-G383+H383)*IFERROR(VLOOKUP(C383,Products!$A$2:$G$204,7,FALSE),0)))</f>
        <v>0</v>
      </c>
      <c r="J383" s="7"/>
      <c r="K383" s="7">
        <f>IF(OR(E383="",F383=""),0,E383*F383)</f>
        <v>0</v>
      </c>
      <c r="L383" s="7">
        <f>IF(E383="",0,K383-G383+H383-I383-J383)</f>
        <v>0</v>
      </c>
      <c r="M383" s="7">
        <f>IFERROR(E383*VLOOKUP(C383,Products!$A$2:$G$204,4,FALSE),0)</f>
        <v>0</v>
      </c>
      <c r="N383" s="7">
        <f>IFERROR(E383*VLOOKUP(C383,Products!$A$2:$G$204,5,FALSE),0)</f>
        <v>0</v>
      </c>
      <c r="O383" s="7">
        <f>IF(E383="",0,L383-M383-N383)</f>
        <v>0</v>
      </c>
      <c r="P383" s="6"/>
      <c r="Q383" s="6"/>
    </row>
    <row r="384" spans="1:17" x14ac:dyDescent="0.2">
      <c r="A384" s="12"/>
      <c r="B384" s="9"/>
      <c r="C384" s="9"/>
      <c r="D384" s="9" t="str">
        <f>IFERROR(VLOOKUP(C384,Products!$A$2:$G$204,2,FALSE),"")</f>
        <v/>
      </c>
      <c r="E384" s="13"/>
      <c r="F384" s="10">
        <f>IFERROR(VLOOKUP(C384,Products!$A$2:$G$204,6,FALSE),0)</f>
        <v>0</v>
      </c>
      <c r="G384" s="10"/>
      <c r="H384" s="10"/>
      <c r="I384" s="10">
        <f>IF(OR(E384="",F384=""),0,MAX(0,(E384*F384-G384+H384)*IFERROR(VLOOKUP(C384,Products!$A$2:$G$204,7,FALSE),0)))</f>
        <v>0</v>
      </c>
      <c r="J384" s="10"/>
      <c r="K384" s="10">
        <f>IF(OR(E384="",F384=""),0,E384*F384)</f>
        <v>0</v>
      </c>
      <c r="L384" s="10">
        <f>IF(E384="",0,K384-G384+H384-I384-J384)</f>
        <v>0</v>
      </c>
      <c r="M384" s="10">
        <f>IFERROR(E384*VLOOKUP(C384,Products!$A$2:$G$204,4,FALSE),0)</f>
        <v>0</v>
      </c>
      <c r="N384" s="10">
        <f>IFERROR(E384*VLOOKUP(C384,Products!$A$2:$G$204,5,FALSE),0)</f>
        <v>0</v>
      </c>
      <c r="O384" s="10">
        <f>IF(E384="",0,L384-M384-N384)</f>
        <v>0</v>
      </c>
      <c r="P384" s="9"/>
      <c r="Q384" s="9"/>
    </row>
    <row r="385" spans="1:17" x14ac:dyDescent="0.2">
      <c r="A385" s="14"/>
      <c r="B385" s="6"/>
      <c r="C385" s="6"/>
      <c r="D385" s="6" t="str">
        <f>IFERROR(VLOOKUP(C385,Products!$A$2:$G$204,2,FALSE),"")</f>
        <v/>
      </c>
      <c r="E385" s="15"/>
      <c r="F385" s="7">
        <f>IFERROR(VLOOKUP(C385,Products!$A$2:$G$204,6,FALSE),0)</f>
        <v>0</v>
      </c>
      <c r="G385" s="7"/>
      <c r="H385" s="7"/>
      <c r="I385" s="7">
        <f>IF(OR(E385="",F385=""),0,MAX(0,(E385*F385-G385+H385)*IFERROR(VLOOKUP(C385,Products!$A$2:$G$204,7,FALSE),0)))</f>
        <v>0</v>
      </c>
      <c r="J385" s="7"/>
      <c r="K385" s="7">
        <f>IF(OR(E385="",F385=""),0,E385*F385)</f>
        <v>0</v>
      </c>
      <c r="L385" s="7">
        <f>IF(E385="",0,K385-G385+H385-I385-J385)</f>
        <v>0</v>
      </c>
      <c r="M385" s="7">
        <f>IFERROR(E385*VLOOKUP(C385,Products!$A$2:$G$204,4,FALSE),0)</f>
        <v>0</v>
      </c>
      <c r="N385" s="7">
        <f>IFERROR(E385*VLOOKUP(C385,Products!$A$2:$G$204,5,FALSE),0)</f>
        <v>0</v>
      </c>
      <c r="O385" s="7">
        <f>IF(E385="",0,L385-M385-N385)</f>
        <v>0</v>
      </c>
      <c r="P385" s="6"/>
      <c r="Q385" s="6"/>
    </row>
    <row r="386" spans="1:17" x14ac:dyDescent="0.2">
      <c r="A386" s="12"/>
      <c r="B386" s="9"/>
      <c r="C386" s="9"/>
      <c r="D386" s="9" t="str">
        <f>IFERROR(VLOOKUP(C386,Products!$A$2:$G$204,2,FALSE),"")</f>
        <v/>
      </c>
      <c r="E386" s="13"/>
      <c r="F386" s="10">
        <f>IFERROR(VLOOKUP(C386,Products!$A$2:$G$204,6,FALSE),0)</f>
        <v>0</v>
      </c>
      <c r="G386" s="10"/>
      <c r="H386" s="10"/>
      <c r="I386" s="10">
        <f>IF(OR(E386="",F386=""),0,MAX(0,(E386*F386-G386+H386)*IFERROR(VLOOKUP(C386,Products!$A$2:$G$204,7,FALSE),0)))</f>
        <v>0</v>
      </c>
      <c r="J386" s="10"/>
      <c r="K386" s="10">
        <f>IF(OR(E386="",F386=""),0,E386*F386)</f>
        <v>0</v>
      </c>
      <c r="L386" s="10">
        <f>IF(E386="",0,K386-G386+H386-I386-J386)</f>
        <v>0</v>
      </c>
      <c r="M386" s="10">
        <f>IFERROR(E386*VLOOKUP(C386,Products!$A$2:$G$204,4,FALSE),0)</f>
        <v>0</v>
      </c>
      <c r="N386" s="10">
        <f>IFERROR(E386*VLOOKUP(C386,Products!$A$2:$G$204,5,FALSE),0)</f>
        <v>0</v>
      </c>
      <c r="O386" s="10">
        <f>IF(E386="",0,L386-M386-N386)</f>
        <v>0</v>
      </c>
      <c r="P386" s="9"/>
      <c r="Q386" s="9"/>
    </row>
    <row r="387" spans="1:17" x14ac:dyDescent="0.2">
      <c r="A387" s="14"/>
      <c r="B387" s="6"/>
      <c r="C387" s="6"/>
      <c r="D387" s="6" t="str">
        <f>IFERROR(VLOOKUP(C387,Products!$A$2:$G$204,2,FALSE),"")</f>
        <v/>
      </c>
      <c r="E387" s="15"/>
      <c r="F387" s="7">
        <f>IFERROR(VLOOKUP(C387,Products!$A$2:$G$204,6,FALSE),0)</f>
        <v>0</v>
      </c>
      <c r="G387" s="7"/>
      <c r="H387" s="7"/>
      <c r="I387" s="7">
        <f>IF(OR(E387="",F387=""),0,MAX(0,(E387*F387-G387+H387)*IFERROR(VLOOKUP(C387,Products!$A$2:$G$204,7,FALSE),0)))</f>
        <v>0</v>
      </c>
      <c r="J387" s="7"/>
      <c r="K387" s="7">
        <f>IF(OR(E387="",F387=""),0,E387*F387)</f>
        <v>0</v>
      </c>
      <c r="L387" s="7">
        <f>IF(E387="",0,K387-G387+H387-I387-J387)</f>
        <v>0</v>
      </c>
      <c r="M387" s="7">
        <f>IFERROR(E387*VLOOKUP(C387,Products!$A$2:$G$204,4,FALSE),0)</f>
        <v>0</v>
      </c>
      <c r="N387" s="7">
        <f>IFERROR(E387*VLOOKUP(C387,Products!$A$2:$G$204,5,FALSE),0)</f>
        <v>0</v>
      </c>
      <c r="O387" s="7">
        <f>IF(E387="",0,L387-M387-N387)</f>
        <v>0</v>
      </c>
      <c r="P387" s="6"/>
      <c r="Q387" s="6"/>
    </row>
    <row r="388" spans="1:17" x14ac:dyDescent="0.2">
      <c r="A388" s="12"/>
      <c r="B388" s="9"/>
      <c r="C388" s="9"/>
      <c r="D388" s="9" t="str">
        <f>IFERROR(VLOOKUP(C388,Products!$A$2:$G$204,2,FALSE),"")</f>
        <v/>
      </c>
      <c r="E388" s="13"/>
      <c r="F388" s="10">
        <f>IFERROR(VLOOKUP(C388,Products!$A$2:$G$204,6,FALSE),0)</f>
        <v>0</v>
      </c>
      <c r="G388" s="10"/>
      <c r="H388" s="10"/>
      <c r="I388" s="10">
        <f>IF(OR(E388="",F388=""),0,MAX(0,(E388*F388-G388+H388)*IFERROR(VLOOKUP(C388,Products!$A$2:$G$204,7,FALSE),0)))</f>
        <v>0</v>
      </c>
      <c r="J388" s="10"/>
      <c r="K388" s="10">
        <f>IF(OR(E388="",F388=""),0,E388*F388)</f>
        <v>0</v>
      </c>
      <c r="L388" s="10">
        <f>IF(E388="",0,K388-G388+H388-I388-J388)</f>
        <v>0</v>
      </c>
      <c r="M388" s="10">
        <f>IFERROR(E388*VLOOKUP(C388,Products!$A$2:$G$204,4,FALSE),0)</f>
        <v>0</v>
      </c>
      <c r="N388" s="10">
        <f>IFERROR(E388*VLOOKUP(C388,Products!$A$2:$G$204,5,FALSE),0)</f>
        <v>0</v>
      </c>
      <c r="O388" s="10">
        <f>IF(E388="",0,L388-M388-N388)</f>
        <v>0</v>
      </c>
      <c r="P388" s="9"/>
      <c r="Q388" s="9"/>
    </row>
    <row r="389" spans="1:17" x14ac:dyDescent="0.2">
      <c r="A389" s="14"/>
      <c r="B389" s="6"/>
      <c r="C389" s="6"/>
      <c r="D389" s="6" t="str">
        <f>IFERROR(VLOOKUP(C389,Products!$A$2:$G$204,2,FALSE),"")</f>
        <v/>
      </c>
      <c r="E389" s="15"/>
      <c r="F389" s="7">
        <f>IFERROR(VLOOKUP(C389,Products!$A$2:$G$204,6,FALSE),0)</f>
        <v>0</v>
      </c>
      <c r="G389" s="7"/>
      <c r="H389" s="7"/>
      <c r="I389" s="7">
        <f>IF(OR(E389="",F389=""),0,MAX(0,(E389*F389-G389+H389)*IFERROR(VLOOKUP(C389,Products!$A$2:$G$204,7,FALSE),0)))</f>
        <v>0</v>
      </c>
      <c r="J389" s="7"/>
      <c r="K389" s="7">
        <f>IF(OR(E389="",F389=""),0,E389*F389)</f>
        <v>0</v>
      </c>
      <c r="L389" s="7">
        <f>IF(E389="",0,K389-G389+H389-I389-J389)</f>
        <v>0</v>
      </c>
      <c r="M389" s="7">
        <f>IFERROR(E389*VLOOKUP(C389,Products!$A$2:$G$204,4,FALSE),0)</f>
        <v>0</v>
      </c>
      <c r="N389" s="7">
        <f>IFERROR(E389*VLOOKUP(C389,Products!$A$2:$G$204,5,FALSE),0)</f>
        <v>0</v>
      </c>
      <c r="O389" s="7">
        <f>IF(E389="",0,L389-M389-N389)</f>
        <v>0</v>
      </c>
      <c r="P389" s="6"/>
      <c r="Q389" s="6"/>
    </row>
    <row r="390" spans="1:17" x14ac:dyDescent="0.2">
      <c r="A390" s="12"/>
      <c r="B390" s="9"/>
      <c r="C390" s="9"/>
      <c r="D390" s="9" t="str">
        <f>IFERROR(VLOOKUP(C390,Products!$A$2:$G$204,2,FALSE),"")</f>
        <v/>
      </c>
      <c r="E390" s="13"/>
      <c r="F390" s="10">
        <f>IFERROR(VLOOKUP(C390,Products!$A$2:$G$204,6,FALSE),0)</f>
        <v>0</v>
      </c>
      <c r="G390" s="10"/>
      <c r="H390" s="10"/>
      <c r="I390" s="10">
        <f>IF(OR(E390="",F390=""),0,MAX(0,(E390*F390-G390+H390)*IFERROR(VLOOKUP(C390,Products!$A$2:$G$204,7,FALSE),0)))</f>
        <v>0</v>
      </c>
      <c r="J390" s="10"/>
      <c r="K390" s="10">
        <f>IF(OR(E390="",F390=""),0,E390*F390)</f>
        <v>0</v>
      </c>
      <c r="L390" s="10">
        <f>IF(E390="",0,K390-G390+H390-I390-J390)</f>
        <v>0</v>
      </c>
      <c r="M390" s="10">
        <f>IFERROR(E390*VLOOKUP(C390,Products!$A$2:$G$204,4,FALSE),0)</f>
        <v>0</v>
      </c>
      <c r="N390" s="10">
        <f>IFERROR(E390*VLOOKUP(C390,Products!$A$2:$G$204,5,FALSE),0)</f>
        <v>0</v>
      </c>
      <c r="O390" s="10">
        <f>IF(E390="",0,L390-M390-N390)</f>
        <v>0</v>
      </c>
      <c r="P390" s="9"/>
      <c r="Q390" s="9"/>
    </row>
    <row r="391" spans="1:17" x14ac:dyDescent="0.2">
      <c r="A391" s="14"/>
      <c r="B391" s="6"/>
      <c r="C391" s="6"/>
      <c r="D391" s="6" t="str">
        <f>IFERROR(VLOOKUP(C391,Products!$A$2:$G$204,2,FALSE),"")</f>
        <v/>
      </c>
      <c r="E391" s="15"/>
      <c r="F391" s="7">
        <f>IFERROR(VLOOKUP(C391,Products!$A$2:$G$204,6,FALSE),0)</f>
        <v>0</v>
      </c>
      <c r="G391" s="7"/>
      <c r="H391" s="7"/>
      <c r="I391" s="7">
        <f>IF(OR(E391="",F391=""),0,MAX(0,(E391*F391-G391+H391)*IFERROR(VLOOKUP(C391,Products!$A$2:$G$204,7,FALSE),0)))</f>
        <v>0</v>
      </c>
      <c r="J391" s="7"/>
      <c r="K391" s="7">
        <f>IF(OR(E391="",F391=""),0,E391*F391)</f>
        <v>0</v>
      </c>
      <c r="L391" s="7">
        <f>IF(E391="",0,K391-G391+H391-I391-J391)</f>
        <v>0</v>
      </c>
      <c r="M391" s="7">
        <f>IFERROR(E391*VLOOKUP(C391,Products!$A$2:$G$204,4,FALSE),0)</f>
        <v>0</v>
      </c>
      <c r="N391" s="7">
        <f>IFERROR(E391*VLOOKUP(C391,Products!$A$2:$G$204,5,FALSE),0)</f>
        <v>0</v>
      </c>
      <c r="O391" s="7">
        <f>IF(E391="",0,L391-M391-N391)</f>
        <v>0</v>
      </c>
      <c r="P391" s="6"/>
      <c r="Q391" s="6"/>
    </row>
    <row r="392" spans="1:17" x14ac:dyDescent="0.2">
      <c r="A392" s="12"/>
      <c r="B392" s="9"/>
      <c r="C392" s="9"/>
      <c r="D392" s="9" t="str">
        <f>IFERROR(VLOOKUP(C392,Products!$A$2:$G$204,2,FALSE),"")</f>
        <v/>
      </c>
      <c r="E392" s="13"/>
      <c r="F392" s="10">
        <f>IFERROR(VLOOKUP(C392,Products!$A$2:$G$204,6,FALSE),0)</f>
        <v>0</v>
      </c>
      <c r="G392" s="10"/>
      <c r="H392" s="10"/>
      <c r="I392" s="10">
        <f>IF(OR(E392="",F392=""),0,MAX(0,(E392*F392-G392+H392)*IFERROR(VLOOKUP(C392,Products!$A$2:$G$204,7,FALSE),0)))</f>
        <v>0</v>
      </c>
      <c r="J392" s="10"/>
      <c r="K392" s="10">
        <f>IF(OR(E392="",F392=""),0,E392*F392)</f>
        <v>0</v>
      </c>
      <c r="L392" s="10">
        <f>IF(E392="",0,K392-G392+H392-I392-J392)</f>
        <v>0</v>
      </c>
      <c r="M392" s="10">
        <f>IFERROR(E392*VLOOKUP(C392,Products!$A$2:$G$204,4,FALSE),0)</f>
        <v>0</v>
      </c>
      <c r="N392" s="10">
        <f>IFERROR(E392*VLOOKUP(C392,Products!$A$2:$G$204,5,FALSE),0)</f>
        <v>0</v>
      </c>
      <c r="O392" s="10">
        <f>IF(E392="",0,L392-M392-N392)</f>
        <v>0</v>
      </c>
      <c r="P392" s="9"/>
      <c r="Q392" s="9"/>
    </row>
    <row r="393" spans="1:17" x14ac:dyDescent="0.2">
      <c r="A393" s="14"/>
      <c r="B393" s="6"/>
      <c r="C393" s="6"/>
      <c r="D393" s="6" t="str">
        <f>IFERROR(VLOOKUP(C393,Products!$A$2:$G$204,2,FALSE),"")</f>
        <v/>
      </c>
      <c r="E393" s="15"/>
      <c r="F393" s="7">
        <f>IFERROR(VLOOKUP(C393,Products!$A$2:$G$204,6,FALSE),0)</f>
        <v>0</v>
      </c>
      <c r="G393" s="7"/>
      <c r="H393" s="7"/>
      <c r="I393" s="7">
        <f>IF(OR(E393="",F393=""),0,MAX(0,(E393*F393-G393+H393)*IFERROR(VLOOKUP(C393,Products!$A$2:$G$204,7,FALSE),0)))</f>
        <v>0</v>
      </c>
      <c r="J393" s="7"/>
      <c r="K393" s="7">
        <f>IF(OR(E393="",F393=""),0,E393*F393)</f>
        <v>0</v>
      </c>
      <c r="L393" s="7">
        <f>IF(E393="",0,K393-G393+H393-I393-J393)</f>
        <v>0</v>
      </c>
      <c r="M393" s="7">
        <f>IFERROR(E393*VLOOKUP(C393,Products!$A$2:$G$204,4,FALSE),0)</f>
        <v>0</v>
      </c>
      <c r="N393" s="7">
        <f>IFERROR(E393*VLOOKUP(C393,Products!$A$2:$G$204,5,FALSE),0)</f>
        <v>0</v>
      </c>
      <c r="O393" s="7">
        <f>IF(E393="",0,L393-M393-N393)</f>
        <v>0</v>
      </c>
      <c r="P393" s="6"/>
      <c r="Q393" s="6"/>
    </row>
    <row r="394" spans="1:17" x14ac:dyDescent="0.2">
      <c r="A394" s="12"/>
      <c r="B394" s="9"/>
      <c r="C394" s="9"/>
      <c r="D394" s="9" t="str">
        <f>IFERROR(VLOOKUP(C394,Products!$A$2:$G$204,2,FALSE),"")</f>
        <v/>
      </c>
      <c r="E394" s="13"/>
      <c r="F394" s="10">
        <f>IFERROR(VLOOKUP(C394,Products!$A$2:$G$204,6,FALSE),0)</f>
        <v>0</v>
      </c>
      <c r="G394" s="10"/>
      <c r="H394" s="10"/>
      <c r="I394" s="10">
        <f>IF(OR(E394="",F394=""),0,MAX(0,(E394*F394-G394+H394)*IFERROR(VLOOKUP(C394,Products!$A$2:$G$204,7,FALSE),0)))</f>
        <v>0</v>
      </c>
      <c r="J394" s="10"/>
      <c r="K394" s="10">
        <f>IF(OR(E394="",F394=""),0,E394*F394)</f>
        <v>0</v>
      </c>
      <c r="L394" s="10">
        <f>IF(E394="",0,K394-G394+H394-I394-J394)</f>
        <v>0</v>
      </c>
      <c r="M394" s="10">
        <f>IFERROR(E394*VLOOKUP(C394,Products!$A$2:$G$204,4,FALSE),0)</f>
        <v>0</v>
      </c>
      <c r="N394" s="10">
        <f>IFERROR(E394*VLOOKUP(C394,Products!$A$2:$G$204,5,FALSE),0)</f>
        <v>0</v>
      </c>
      <c r="O394" s="10">
        <f>IF(E394="",0,L394-M394-N394)</f>
        <v>0</v>
      </c>
      <c r="P394" s="9"/>
      <c r="Q394" s="9"/>
    </row>
    <row r="395" spans="1:17" x14ac:dyDescent="0.2">
      <c r="A395" s="14"/>
      <c r="B395" s="6"/>
      <c r="C395" s="6"/>
      <c r="D395" s="6" t="str">
        <f>IFERROR(VLOOKUP(C395,Products!$A$2:$G$204,2,FALSE),"")</f>
        <v/>
      </c>
      <c r="E395" s="15"/>
      <c r="F395" s="7">
        <f>IFERROR(VLOOKUP(C395,Products!$A$2:$G$204,6,FALSE),0)</f>
        <v>0</v>
      </c>
      <c r="G395" s="7"/>
      <c r="H395" s="7"/>
      <c r="I395" s="7">
        <f>IF(OR(E395="",F395=""),0,MAX(0,(E395*F395-G395+H395)*IFERROR(VLOOKUP(C395,Products!$A$2:$G$204,7,FALSE),0)))</f>
        <v>0</v>
      </c>
      <c r="J395" s="7"/>
      <c r="K395" s="7">
        <f>IF(OR(E395="",F395=""),0,E395*F395)</f>
        <v>0</v>
      </c>
      <c r="L395" s="7">
        <f>IF(E395="",0,K395-G395+H395-I395-J395)</f>
        <v>0</v>
      </c>
      <c r="M395" s="7">
        <f>IFERROR(E395*VLOOKUP(C395,Products!$A$2:$G$204,4,FALSE),0)</f>
        <v>0</v>
      </c>
      <c r="N395" s="7">
        <f>IFERROR(E395*VLOOKUP(C395,Products!$A$2:$G$204,5,FALSE),0)</f>
        <v>0</v>
      </c>
      <c r="O395" s="7">
        <f>IF(E395="",0,L395-M395-N395)</f>
        <v>0</v>
      </c>
      <c r="P395" s="6"/>
      <c r="Q395" s="6"/>
    </row>
    <row r="396" spans="1:17" x14ac:dyDescent="0.2">
      <c r="A396" s="12"/>
      <c r="B396" s="9"/>
      <c r="C396" s="9"/>
      <c r="D396" s="9" t="str">
        <f>IFERROR(VLOOKUP(C396,Products!$A$2:$G$204,2,FALSE),"")</f>
        <v/>
      </c>
      <c r="E396" s="13"/>
      <c r="F396" s="10">
        <f>IFERROR(VLOOKUP(C396,Products!$A$2:$G$204,6,FALSE),0)</f>
        <v>0</v>
      </c>
      <c r="G396" s="10"/>
      <c r="H396" s="10"/>
      <c r="I396" s="10">
        <f>IF(OR(E396="",F396=""),0,MAX(0,(E396*F396-G396+H396)*IFERROR(VLOOKUP(C396,Products!$A$2:$G$204,7,FALSE),0)))</f>
        <v>0</v>
      </c>
      <c r="J396" s="10"/>
      <c r="K396" s="10">
        <f>IF(OR(E396="",F396=""),0,E396*F396)</f>
        <v>0</v>
      </c>
      <c r="L396" s="10">
        <f>IF(E396="",0,K396-G396+H396-I396-J396)</f>
        <v>0</v>
      </c>
      <c r="M396" s="10">
        <f>IFERROR(E396*VLOOKUP(C396,Products!$A$2:$G$204,4,FALSE),0)</f>
        <v>0</v>
      </c>
      <c r="N396" s="10">
        <f>IFERROR(E396*VLOOKUP(C396,Products!$A$2:$G$204,5,FALSE),0)</f>
        <v>0</v>
      </c>
      <c r="O396" s="10">
        <f>IF(E396="",0,L396-M396-N396)</f>
        <v>0</v>
      </c>
      <c r="P396" s="9"/>
      <c r="Q396" s="9"/>
    </row>
    <row r="397" spans="1:17" x14ac:dyDescent="0.2">
      <c r="A397" s="14"/>
      <c r="B397" s="6"/>
      <c r="C397" s="6"/>
      <c r="D397" s="6" t="str">
        <f>IFERROR(VLOOKUP(C397,Products!$A$2:$G$204,2,FALSE),"")</f>
        <v/>
      </c>
      <c r="E397" s="15"/>
      <c r="F397" s="7">
        <f>IFERROR(VLOOKUP(C397,Products!$A$2:$G$204,6,FALSE),0)</f>
        <v>0</v>
      </c>
      <c r="G397" s="7"/>
      <c r="H397" s="7"/>
      <c r="I397" s="7">
        <f>IF(OR(E397="",F397=""),0,MAX(0,(E397*F397-G397+H397)*IFERROR(VLOOKUP(C397,Products!$A$2:$G$204,7,FALSE),0)))</f>
        <v>0</v>
      </c>
      <c r="J397" s="7"/>
      <c r="K397" s="7">
        <f>IF(OR(E397="",F397=""),0,E397*F397)</f>
        <v>0</v>
      </c>
      <c r="L397" s="7">
        <f>IF(E397="",0,K397-G397+H397-I397-J397)</f>
        <v>0</v>
      </c>
      <c r="M397" s="7">
        <f>IFERROR(E397*VLOOKUP(C397,Products!$A$2:$G$204,4,FALSE),0)</f>
        <v>0</v>
      </c>
      <c r="N397" s="7">
        <f>IFERROR(E397*VLOOKUP(C397,Products!$A$2:$G$204,5,FALSE),0)</f>
        <v>0</v>
      </c>
      <c r="O397" s="7">
        <f>IF(E397="",0,L397-M397-N397)</f>
        <v>0</v>
      </c>
      <c r="P397" s="6"/>
      <c r="Q397" s="6"/>
    </row>
    <row r="398" spans="1:17" x14ac:dyDescent="0.2">
      <c r="A398" s="12"/>
      <c r="B398" s="9"/>
      <c r="C398" s="9"/>
      <c r="D398" s="9" t="str">
        <f>IFERROR(VLOOKUP(C398,Products!$A$2:$G$204,2,FALSE),"")</f>
        <v/>
      </c>
      <c r="E398" s="13"/>
      <c r="F398" s="10">
        <f>IFERROR(VLOOKUP(C398,Products!$A$2:$G$204,6,FALSE),0)</f>
        <v>0</v>
      </c>
      <c r="G398" s="10"/>
      <c r="H398" s="10"/>
      <c r="I398" s="10">
        <f>IF(OR(E398="",F398=""),0,MAX(0,(E398*F398-G398+H398)*IFERROR(VLOOKUP(C398,Products!$A$2:$G$204,7,FALSE),0)))</f>
        <v>0</v>
      </c>
      <c r="J398" s="10"/>
      <c r="K398" s="10">
        <f>IF(OR(E398="",F398=""),0,E398*F398)</f>
        <v>0</v>
      </c>
      <c r="L398" s="10">
        <f>IF(E398="",0,K398-G398+H398-I398-J398)</f>
        <v>0</v>
      </c>
      <c r="M398" s="10">
        <f>IFERROR(E398*VLOOKUP(C398,Products!$A$2:$G$204,4,FALSE),0)</f>
        <v>0</v>
      </c>
      <c r="N398" s="10">
        <f>IFERROR(E398*VLOOKUP(C398,Products!$A$2:$G$204,5,FALSE),0)</f>
        <v>0</v>
      </c>
      <c r="O398" s="10">
        <f>IF(E398="",0,L398-M398-N398)</f>
        <v>0</v>
      </c>
      <c r="P398" s="9"/>
      <c r="Q398" s="9"/>
    </row>
    <row r="399" spans="1:17" x14ac:dyDescent="0.2">
      <c r="A399" s="14"/>
      <c r="B399" s="6"/>
      <c r="C399" s="6"/>
      <c r="D399" s="6" t="str">
        <f>IFERROR(VLOOKUP(C399,Products!$A$2:$G$204,2,FALSE),"")</f>
        <v/>
      </c>
      <c r="E399" s="15"/>
      <c r="F399" s="7">
        <f>IFERROR(VLOOKUP(C399,Products!$A$2:$G$204,6,FALSE),0)</f>
        <v>0</v>
      </c>
      <c r="G399" s="7"/>
      <c r="H399" s="7"/>
      <c r="I399" s="7">
        <f>IF(OR(E399="",F399=""),0,MAX(0,(E399*F399-G399+H399)*IFERROR(VLOOKUP(C399,Products!$A$2:$G$204,7,FALSE),0)))</f>
        <v>0</v>
      </c>
      <c r="J399" s="7"/>
      <c r="K399" s="7">
        <f>IF(OR(E399="",F399=""),0,E399*F399)</f>
        <v>0</v>
      </c>
      <c r="L399" s="7">
        <f>IF(E399="",0,K399-G399+H399-I399-J399)</f>
        <v>0</v>
      </c>
      <c r="M399" s="7">
        <f>IFERROR(E399*VLOOKUP(C399,Products!$A$2:$G$204,4,FALSE),0)</f>
        <v>0</v>
      </c>
      <c r="N399" s="7">
        <f>IFERROR(E399*VLOOKUP(C399,Products!$A$2:$G$204,5,FALSE),0)</f>
        <v>0</v>
      </c>
      <c r="O399" s="7">
        <f>IF(E399="",0,L399-M399-N399)</f>
        <v>0</v>
      </c>
      <c r="P399" s="6"/>
      <c r="Q399" s="6"/>
    </row>
    <row r="400" spans="1:17" x14ac:dyDescent="0.2">
      <c r="A400" s="12"/>
      <c r="B400" s="9"/>
      <c r="C400" s="9"/>
      <c r="D400" s="9" t="str">
        <f>IFERROR(VLOOKUP(C400,Products!$A$2:$G$204,2,FALSE),"")</f>
        <v/>
      </c>
      <c r="E400" s="13"/>
      <c r="F400" s="10">
        <f>IFERROR(VLOOKUP(C400,Products!$A$2:$G$204,6,FALSE),0)</f>
        <v>0</v>
      </c>
      <c r="G400" s="10"/>
      <c r="H400" s="10"/>
      <c r="I400" s="10">
        <f>IF(OR(E400="",F400=""),0,MAX(0,(E400*F400-G400+H400)*IFERROR(VLOOKUP(C400,Products!$A$2:$G$204,7,FALSE),0)))</f>
        <v>0</v>
      </c>
      <c r="J400" s="10"/>
      <c r="K400" s="10">
        <f>IF(OR(E400="",F400=""),0,E400*F400)</f>
        <v>0</v>
      </c>
      <c r="L400" s="10">
        <f>IF(E400="",0,K400-G400+H400-I400-J400)</f>
        <v>0</v>
      </c>
      <c r="M400" s="10">
        <f>IFERROR(E400*VLOOKUP(C400,Products!$A$2:$G$204,4,FALSE),0)</f>
        <v>0</v>
      </c>
      <c r="N400" s="10">
        <f>IFERROR(E400*VLOOKUP(C400,Products!$A$2:$G$204,5,FALSE),0)</f>
        <v>0</v>
      </c>
      <c r="O400" s="10">
        <f>IF(E400="",0,L400-M400-N400)</f>
        <v>0</v>
      </c>
      <c r="P400" s="9"/>
      <c r="Q400" s="9"/>
    </row>
    <row r="401" spans="1:17" x14ac:dyDescent="0.2">
      <c r="A401" s="14"/>
      <c r="B401" s="6"/>
      <c r="C401" s="6"/>
      <c r="D401" s="6" t="str">
        <f>IFERROR(VLOOKUP(C401,Products!$A$2:$G$204,2,FALSE),"")</f>
        <v/>
      </c>
      <c r="E401" s="15"/>
      <c r="F401" s="7">
        <f>IFERROR(VLOOKUP(C401,Products!$A$2:$G$204,6,FALSE),0)</f>
        <v>0</v>
      </c>
      <c r="G401" s="7"/>
      <c r="H401" s="7"/>
      <c r="I401" s="7">
        <f>IF(OR(E401="",F401=""),0,MAX(0,(E401*F401-G401+H401)*IFERROR(VLOOKUP(C401,Products!$A$2:$G$204,7,FALSE),0)))</f>
        <v>0</v>
      </c>
      <c r="J401" s="7"/>
      <c r="K401" s="7">
        <f>IF(OR(E401="",F401=""),0,E401*F401)</f>
        <v>0</v>
      </c>
      <c r="L401" s="7">
        <f>IF(E401="",0,K401-G401+H401-I401-J401)</f>
        <v>0</v>
      </c>
      <c r="M401" s="7">
        <f>IFERROR(E401*VLOOKUP(C401,Products!$A$2:$G$204,4,FALSE),0)</f>
        <v>0</v>
      </c>
      <c r="N401" s="7">
        <f>IFERROR(E401*VLOOKUP(C401,Products!$A$2:$G$204,5,FALSE),0)</f>
        <v>0</v>
      </c>
      <c r="O401" s="7">
        <f>IF(E401="",0,L401-M401-N401)</f>
        <v>0</v>
      </c>
      <c r="P401" s="6"/>
      <c r="Q401" s="6"/>
    </row>
    <row r="402" spans="1:17" x14ac:dyDescent="0.2">
      <c r="A402" s="12"/>
      <c r="B402" s="9"/>
      <c r="C402" s="9"/>
      <c r="D402" s="9" t="str">
        <f>IFERROR(VLOOKUP(C402,Products!$A$2:$G$204,2,FALSE),"")</f>
        <v/>
      </c>
      <c r="E402" s="13"/>
      <c r="F402" s="10">
        <f>IFERROR(VLOOKUP(C402,Products!$A$2:$G$204,6,FALSE),0)</f>
        <v>0</v>
      </c>
      <c r="G402" s="10"/>
      <c r="H402" s="10"/>
      <c r="I402" s="10">
        <f>IF(OR(E402="",F402=""),0,MAX(0,(E402*F402-G402+H402)*IFERROR(VLOOKUP(C402,Products!$A$2:$G$204,7,FALSE),0)))</f>
        <v>0</v>
      </c>
      <c r="J402" s="10"/>
      <c r="K402" s="10">
        <f>IF(OR(E402="",F402=""),0,E402*F402)</f>
        <v>0</v>
      </c>
      <c r="L402" s="10">
        <f>IF(E402="",0,K402-G402+H402-I402-J402)</f>
        <v>0</v>
      </c>
      <c r="M402" s="10">
        <f>IFERROR(E402*VLOOKUP(C402,Products!$A$2:$G$204,4,FALSE),0)</f>
        <v>0</v>
      </c>
      <c r="N402" s="10">
        <f>IFERROR(E402*VLOOKUP(C402,Products!$A$2:$G$204,5,FALSE),0)</f>
        <v>0</v>
      </c>
      <c r="O402" s="10">
        <f>IF(E402="",0,L402-M402-N402)</f>
        <v>0</v>
      </c>
      <c r="P402" s="9"/>
      <c r="Q402" s="9"/>
    </row>
    <row r="403" spans="1:17" x14ac:dyDescent="0.2">
      <c r="A403" s="14"/>
      <c r="B403" s="6"/>
      <c r="C403" s="6"/>
      <c r="D403" s="6" t="str">
        <f>IFERROR(VLOOKUP(C403,Products!$A$2:$G$204,2,FALSE),"")</f>
        <v/>
      </c>
      <c r="E403" s="15"/>
      <c r="F403" s="7">
        <f>IFERROR(VLOOKUP(C403,Products!$A$2:$G$204,6,FALSE),0)</f>
        <v>0</v>
      </c>
      <c r="G403" s="7"/>
      <c r="H403" s="7"/>
      <c r="I403" s="7">
        <f>IF(OR(E403="",F403=""),0,MAX(0,(E403*F403-G403+H403)*IFERROR(VLOOKUP(C403,Products!$A$2:$G$204,7,FALSE),0)))</f>
        <v>0</v>
      </c>
      <c r="J403" s="7"/>
      <c r="K403" s="7">
        <f>IF(OR(E403="",F403=""),0,E403*F403)</f>
        <v>0</v>
      </c>
      <c r="L403" s="7">
        <f>IF(E403="",0,K403-G403+H403-I403-J403)</f>
        <v>0</v>
      </c>
      <c r="M403" s="7">
        <f>IFERROR(E403*VLOOKUP(C403,Products!$A$2:$G$204,4,FALSE),0)</f>
        <v>0</v>
      </c>
      <c r="N403" s="7">
        <f>IFERROR(E403*VLOOKUP(C403,Products!$A$2:$G$204,5,FALSE),0)</f>
        <v>0</v>
      </c>
      <c r="O403" s="7">
        <f>IF(E403="",0,L403-M403-N403)</f>
        <v>0</v>
      </c>
      <c r="P403" s="6"/>
      <c r="Q403" s="6"/>
    </row>
    <row r="404" spans="1:17" x14ac:dyDescent="0.2">
      <c r="A404" s="12"/>
      <c r="B404" s="9"/>
      <c r="C404" s="9"/>
      <c r="D404" s="9" t="str">
        <f>IFERROR(VLOOKUP(C404,Products!$A$2:$G$204,2,FALSE),"")</f>
        <v/>
      </c>
      <c r="E404" s="13"/>
      <c r="F404" s="10">
        <f>IFERROR(VLOOKUP(C404,Products!$A$2:$G$204,6,FALSE),0)</f>
        <v>0</v>
      </c>
      <c r="G404" s="10"/>
      <c r="H404" s="10"/>
      <c r="I404" s="10">
        <f>IF(OR(E404="",F404=""),0,MAX(0,(E404*F404-G404+H404)*IFERROR(VLOOKUP(C404,Products!$A$2:$G$204,7,FALSE),0)))</f>
        <v>0</v>
      </c>
      <c r="J404" s="10"/>
      <c r="K404" s="10">
        <f>IF(OR(E404="",F404=""),0,E404*F404)</f>
        <v>0</v>
      </c>
      <c r="L404" s="10">
        <f>IF(E404="",0,K404-G404+H404-I404-J404)</f>
        <v>0</v>
      </c>
      <c r="M404" s="10">
        <f>IFERROR(E404*VLOOKUP(C404,Products!$A$2:$G$204,4,FALSE),0)</f>
        <v>0</v>
      </c>
      <c r="N404" s="10">
        <f>IFERROR(E404*VLOOKUP(C404,Products!$A$2:$G$204,5,FALSE),0)</f>
        <v>0</v>
      </c>
      <c r="O404" s="10">
        <f>IF(E404="",0,L404-M404-N404)</f>
        <v>0</v>
      </c>
      <c r="P404" s="9"/>
      <c r="Q404" s="9"/>
    </row>
    <row r="405" spans="1:17" x14ac:dyDescent="0.2">
      <c r="A405" s="14"/>
      <c r="B405" s="6"/>
      <c r="C405" s="6"/>
      <c r="D405" s="6" t="str">
        <f>IFERROR(VLOOKUP(C405,Products!$A$2:$G$204,2,FALSE),"")</f>
        <v/>
      </c>
      <c r="E405" s="15"/>
      <c r="F405" s="7">
        <f>IFERROR(VLOOKUP(C405,Products!$A$2:$G$204,6,FALSE),0)</f>
        <v>0</v>
      </c>
      <c r="G405" s="7"/>
      <c r="H405" s="7"/>
      <c r="I405" s="7">
        <f>IF(OR(E405="",F405=""),0,MAX(0,(E405*F405-G405+H405)*IFERROR(VLOOKUP(C405,Products!$A$2:$G$204,7,FALSE),0)))</f>
        <v>0</v>
      </c>
      <c r="J405" s="7"/>
      <c r="K405" s="7">
        <f>IF(OR(E405="",F405=""),0,E405*F405)</f>
        <v>0</v>
      </c>
      <c r="L405" s="7">
        <f>IF(E405="",0,K405-G405+H405-I405-J405)</f>
        <v>0</v>
      </c>
      <c r="M405" s="7">
        <f>IFERROR(E405*VLOOKUP(C405,Products!$A$2:$G$204,4,FALSE),0)</f>
        <v>0</v>
      </c>
      <c r="N405" s="7">
        <f>IFERROR(E405*VLOOKUP(C405,Products!$A$2:$G$204,5,FALSE),0)</f>
        <v>0</v>
      </c>
      <c r="O405" s="7">
        <f>IF(E405="",0,L405-M405-N405)</f>
        <v>0</v>
      </c>
      <c r="P405" s="6"/>
      <c r="Q405" s="6"/>
    </row>
    <row r="406" spans="1:17" x14ac:dyDescent="0.2">
      <c r="A406" s="12"/>
      <c r="B406" s="9"/>
      <c r="C406" s="9"/>
      <c r="D406" s="9" t="str">
        <f>IFERROR(VLOOKUP(C406,Products!$A$2:$G$204,2,FALSE),"")</f>
        <v/>
      </c>
      <c r="E406" s="13"/>
      <c r="F406" s="10">
        <f>IFERROR(VLOOKUP(C406,Products!$A$2:$G$204,6,FALSE),0)</f>
        <v>0</v>
      </c>
      <c r="G406" s="10"/>
      <c r="H406" s="10"/>
      <c r="I406" s="10">
        <f>IF(OR(E406="",F406=""),0,MAX(0,(E406*F406-G406+H406)*IFERROR(VLOOKUP(C406,Products!$A$2:$G$204,7,FALSE),0)))</f>
        <v>0</v>
      </c>
      <c r="J406" s="10"/>
      <c r="K406" s="10">
        <f>IF(OR(E406="",F406=""),0,E406*F406)</f>
        <v>0</v>
      </c>
      <c r="L406" s="10">
        <f>IF(E406="",0,K406-G406+H406-I406-J406)</f>
        <v>0</v>
      </c>
      <c r="M406" s="10">
        <f>IFERROR(E406*VLOOKUP(C406,Products!$A$2:$G$204,4,FALSE),0)</f>
        <v>0</v>
      </c>
      <c r="N406" s="10">
        <f>IFERROR(E406*VLOOKUP(C406,Products!$A$2:$G$204,5,FALSE),0)</f>
        <v>0</v>
      </c>
      <c r="O406" s="10">
        <f>IF(E406="",0,L406-M406-N406)</f>
        <v>0</v>
      </c>
      <c r="P406" s="9"/>
      <c r="Q406" s="9"/>
    </row>
    <row r="407" spans="1:17" x14ac:dyDescent="0.2">
      <c r="A407" s="14"/>
      <c r="B407" s="6"/>
      <c r="C407" s="6"/>
      <c r="D407" s="6" t="str">
        <f>IFERROR(VLOOKUP(C407,Products!$A$2:$G$204,2,FALSE),"")</f>
        <v/>
      </c>
      <c r="E407" s="15"/>
      <c r="F407" s="7">
        <f>IFERROR(VLOOKUP(C407,Products!$A$2:$G$204,6,FALSE),0)</f>
        <v>0</v>
      </c>
      <c r="G407" s="7"/>
      <c r="H407" s="7"/>
      <c r="I407" s="7">
        <f>IF(OR(E407="",F407=""),0,MAX(0,(E407*F407-G407+H407)*IFERROR(VLOOKUP(C407,Products!$A$2:$G$204,7,FALSE),0)))</f>
        <v>0</v>
      </c>
      <c r="J407" s="7"/>
      <c r="K407" s="7">
        <f>IF(OR(E407="",F407=""),0,E407*F407)</f>
        <v>0</v>
      </c>
      <c r="L407" s="7">
        <f>IF(E407="",0,K407-G407+H407-I407-J407)</f>
        <v>0</v>
      </c>
      <c r="M407" s="7">
        <f>IFERROR(E407*VLOOKUP(C407,Products!$A$2:$G$204,4,FALSE),0)</f>
        <v>0</v>
      </c>
      <c r="N407" s="7">
        <f>IFERROR(E407*VLOOKUP(C407,Products!$A$2:$G$204,5,FALSE),0)</f>
        <v>0</v>
      </c>
      <c r="O407" s="7">
        <f>IF(E407="",0,L407-M407-N407)</f>
        <v>0</v>
      </c>
      <c r="P407" s="6"/>
      <c r="Q407" s="6"/>
    </row>
    <row r="408" spans="1:17" x14ac:dyDescent="0.2">
      <c r="A408" s="12"/>
      <c r="B408" s="9"/>
      <c r="C408" s="9"/>
      <c r="D408" s="9" t="str">
        <f>IFERROR(VLOOKUP(C408,Products!$A$2:$G$204,2,FALSE),"")</f>
        <v/>
      </c>
      <c r="E408" s="13"/>
      <c r="F408" s="10">
        <f>IFERROR(VLOOKUP(C408,Products!$A$2:$G$204,6,FALSE),0)</f>
        <v>0</v>
      </c>
      <c r="G408" s="10"/>
      <c r="H408" s="10"/>
      <c r="I408" s="10">
        <f>IF(OR(E408="",F408=""),0,MAX(0,(E408*F408-G408+H408)*IFERROR(VLOOKUP(C408,Products!$A$2:$G$204,7,FALSE),0)))</f>
        <v>0</v>
      </c>
      <c r="J408" s="10"/>
      <c r="K408" s="10">
        <f>IF(OR(E408="",F408=""),0,E408*F408)</f>
        <v>0</v>
      </c>
      <c r="L408" s="10">
        <f>IF(E408="",0,K408-G408+H408-I408-J408)</f>
        <v>0</v>
      </c>
      <c r="M408" s="10">
        <f>IFERROR(E408*VLOOKUP(C408,Products!$A$2:$G$204,4,FALSE),0)</f>
        <v>0</v>
      </c>
      <c r="N408" s="10">
        <f>IFERROR(E408*VLOOKUP(C408,Products!$A$2:$G$204,5,FALSE),0)</f>
        <v>0</v>
      </c>
      <c r="O408" s="10">
        <f>IF(E408="",0,L408-M408-N408)</f>
        <v>0</v>
      </c>
      <c r="P408" s="9"/>
      <c r="Q408" s="9"/>
    </row>
    <row r="409" spans="1:17" x14ac:dyDescent="0.2">
      <c r="A409" s="14"/>
      <c r="B409" s="6"/>
      <c r="C409" s="6"/>
      <c r="D409" s="6" t="str">
        <f>IFERROR(VLOOKUP(C409,Products!$A$2:$G$204,2,FALSE),"")</f>
        <v/>
      </c>
      <c r="E409" s="15"/>
      <c r="F409" s="7">
        <f>IFERROR(VLOOKUP(C409,Products!$A$2:$G$204,6,FALSE),0)</f>
        <v>0</v>
      </c>
      <c r="G409" s="7"/>
      <c r="H409" s="7"/>
      <c r="I409" s="7">
        <f>IF(OR(E409="",F409=""),0,MAX(0,(E409*F409-G409+H409)*IFERROR(VLOOKUP(C409,Products!$A$2:$G$204,7,FALSE),0)))</f>
        <v>0</v>
      </c>
      <c r="J409" s="7"/>
      <c r="K409" s="7">
        <f>IF(OR(E409="",F409=""),0,E409*F409)</f>
        <v>0</v>
      </c>
      <c r="L409" s="7">
        <f>IF(E409="",0,K409-G409+H409-I409-J409)</f>
        <v>0</v>
      </c>
      <c r="M409" s="7">
        <f>IFERROR(E409*VLOOKUP(C409,Products!$A$2:$G$204,4,FALSE),0)</f>
        <v>0</v>
      </c>
      <c r="N409" s="7">
        <f>IFERROR(E409*VLOOKUP(C409,Products!$A$2:$G$204,5,FALSE),0)</f>
        <v>0</v>
      </c>
      <c r="O409" s="7">
        <f>IF(E409="",0,L409-M409-N409)</f>
        <v>0</v>
      </c>
      <c r="P409" s="6"/>
      <c r="Q409" s="6"/>
    </row>
    <row r="410" spans="1:17" x14ac:dyDescent="0.2">
      <c r="A410" s="12"/>
      <c r="B410" s="9"/>
      <c r="C410" s="9"/>
      <c r="D410" s="9" t="str">
        <f>IFERROR(VLOOKUP(C410,Products!$A$2:$G$204,2,FALSE),"")</f>
        <v/>
      </c>
      <c r="E410" s="13"/>
      <c r="F410" s="10">
        <f>IFERROR(VLOOKUP(C410,Products!$A$2:$G$204,6,FALSE),0)</f>
        <v>0</v>
      </c>
      <c r="G410" s="10"/>
      <c r="H410" s="10"/>
      <c r="I410" s="10">
        <f>IF(OR(E410="",F410=""),0,MAX(0,(E410*F410-G410+H410)*IFERROR(VLOOKUP(C410,Products!$A$2:$G$204,7,FALSE),0)))</f>
        <v>0</v>
      </c>
      <c r="J410" s="10"/>
      <c r="K410" s="10">
        <f>IF(OR(E410="",F410=""),0,E410*F410)</f>
        <v>0</v>
      </c>
      <c r="L410" s="10">
        <f>IF(E410="",0,K410-G410+H410-I410-J410)</f>
        <v>0</v>
      </c>
      <c r="M410" s="10">
        <f>IFERROR(E410*VLOOKUP(C410,Products!$A$2:$G$204,4,FALSE),0)</f>
        <v>0</v>
      </c>
      <c r="N410" s="10">
        <f>IFERROR(E410*VLOOKUP(C410,Products!$A$2:$G$204,5,FALSE),0)</f>
        <v>0</v>
      </c>
      <c r="O410" s="10">
        <f>IF(E410="",0,L410-M410-N410)</f>
        <v>0</v>
      </c>
      <c r="P410" s="9"/>
      <c r="Q410" s="9"/>
    </row>
    <row r="411" spans="1:17" x14ac:dyDescent="0.2">
      <c r="A411" s="14"/>
      <c r="B411" s="6"/>
      <c r="C411" s="6"/>
      <c r="D411" s="6" t="str">
        <f>IFERROR(VLOOKUP(C411,Products!$A$2:$G$204,2,FALSE),"")</f>
        <v/>
      </c>
      <c r="E411" s="15"/>
      <c r="F411" s="7">
        <f>IFERROR(VLOOKUP(C411,Products!$A$2:$G$204,6,FALSE),0)</f>
        <v>0</v>
      </c>
      <c r="G411" s="7"/>
      <c r="H411" s="7"/>
      <c r="I411" s="7">
        <f>IF(OR(E411="",F411=""),0,MAX(0,(E411*F411-G411+H411)*IFERROR(VLOOKUP(C411,Products!$A$2:$G$204,7,FALSE),0)))</f>
        <v>0</v>
      </c>
      <c r="J411" s="7"/>
      <c r="K411" s="7">
        <f>IF(OR(E411="",F411=""),0,E411*F411)</f>
        <v>0</v>
      </c>
      <c r="L411" s="7">
        <f>IF(E411="",0,K411-G411+H411-I411-J411)</f>
        <v>0</v>
      </c>
      <c r="M411" s="7">
        <f>IFERROR(E411*VLOOKUP(C411,Products!$A$2:$G$204,4,FALSE),0)</f>
        <v>0</v>
      </c>
      <c r="N411" s="7">
        <f>IFERROR(E411*VLOOKUP(C411,Products!$A$2:$G$204,5,FALSE),0)</f>
        <v>0</v>
      </c>
      <c r="O411" s="7">
        <f>IF(E411="",0,L411-M411-N411)</f>
        <v>0</v>
      </c>
      <c r="P411" s="6"/>
      <c r="Q411" s="6"/>
    </row>
    <row r="412" spans="1:17" x14ac:dyDescent="0.2">
      <c r="A412" s="12"/>
      <c r="B412" s="9"/>
      <c r="C412" s="9"/>
      <c r="D412" s="9" t="str">
        <f>IFERROR(VLOOKUP(C412,Products!$A$2:$G$204,2,FALSE),"")</f>
        <v/>
      </c>
      <c r="E412" s="13"/>
      <c r="F412" s="10">
        <f>IFERROR(VLOOKUP(C412,Products!$A$2:$G$204,6,FALSE),0)</f>
        <v>0</v>
      </c>
      <c r="G412" s="10"/>
      <c r="H412" s="10"/>
      <c r="I412" s="10">
        <f>IF(OR(E412="",F412=""),0,MAX(0,(E412*F412-G412+H412)*IFERROR(VLOOKUP(C412,Products!$A$2:$G$204,7,FALSE),0)))</f>
        <v>0</v>
      </c>
      <c r="J412" s="10"/>
      <c r="K412" s="10">
        <f>IF(OR(E412="",F412=""),0,E412*F412)</f>
        <v>0</v>
      </c>
      <c r="L412" s="10">
        <f>IF(E412="",0,K412-G412+H412-I412-J412)</f>
        <v>0</v>
      </c>
      <c r="M412" s="10">
        <f>IFERROR(E412*VLOOKUP(C412,Products!$A$2:$G$204,4,FALSE),0)</f>
        <v>0</v>
      </c>
      <c r="N412" s="10">
        <f>IFERROR(E412*VLOOKUP(C412,Products!$A$2:$G$204,5,FALSE),0)</f>
        <v>0</v>
      </c>
      <c r="O412" s="10">
        <f>IF(E412="",0,L412-M412-N412)</f>
        <v>0</v>
      </c>
      <c r="P412" s="9"/>
      <c r="Q412" s="9"/>
    </row>
    <row r="413" spans="1:17" x14ac:dyDescent="0.2">
      <c r="A413" s="14"/>
      <c r="B413" s="6"/>
      <c r="C413" s="6"/>
      <c r="D413" s="6" t="str">
        <f>IFERROR(VLOOKUP(C413,Products!$A$2:$G$204,2,FALSE),"")</f>
        <v/>
      </c>
      <c r="E413" s="15"/>
      <c r="F413" s="7">
        <f>IFERROR(VLOOKUP(C413,Products!$A$2:$G$204,6,FALSE),0)</f>
        <v>0</v>
      </c>
      <c r="G413" s="7"/>
      <c r="H413" s="7"/>
      <c r="I413" s="7">
        <f>IF(OR(E413="",F413=""),0,MAX(0,(E413*F413-G413+H413)*IFERROR(VLOOKUP(C413,Products!$A$2:$G$204,7,FALSE),0)))</f>
        <v>0</v>
      </c>
      <c r="J413" s="7"/>
      <c r="K413" s="7">
        <f>IF(OR(E413="",F413=""),0,E413*F413)</f>
        <v>0</v>
      </c>
      <c r="L413" s="7">
        <f>IF(E413="",0,K413-G413+H413-I413-J413)</f>
        <v>0</v>
      </c>
      <c r="M413" s="7">
        <f>IFERROR(E413*VLOOKUP(C413,Products!$A$2:$G$204,4,FALSE),0)</f>
        <v>0</v>
      </c>
      <c r="N413" s="7">
        <f>IFERROR(E413*VLOOKUP(C413,Products!$A$2:$G$204,5,FALSE),0)</f>
        <v>0</v>
      </c>
      <c r="O413" s="7">
        <f>IF(E413="",0,L413-M413-N413)</f>
        <v>0</v>
      </c>
      <c r="P413" s="6"/>
      <c r="Q413" s="6"/>
    </row>
    <row r="414" spans="1:17" x14ac:dyDescent="0.2">
      <c r="A414" s="12"/>
      <c r="B414" s="9"/>
      <c r="C414" s="9"/>
      <c r="D414" s="9" t="str">
        <f>IFERROR(VLOOKUP(C414,Products!$A$2:$G$204,2,FALSE),"")</f>
        <v/>
      </c>
      <c r="E414" s="13"/>
      <c r="F414" s="10">
        <f>IFERROR(VLOOKUP(C414,Products!$A$2:$G$204,6,FALSE),0)</f>
        <v>0</v>
      </c>
      <c r="G414" s="10"/>
      <c r="H414" s="10"/>
      <c r="I414" s="10">
        <f>IF(OR(E414="",F414=""),0,MAX(0,(E414*F414-G414+H414)*IFERROR(VLOOKUP(C414,Products!$A$2:$G$204,7,FALSE),0)))</f>
        <v>0</v>
      </c>
      <c r="J414" s="10"/>
      <c r="K414" s="10">
        <f>IF(OR(E414="",F414=""),0,E414*F414)</f>
        <v>0</v>
      </c>
      <c r="L414" s="10">
        <f>IF(E414="",0,K414-G414+H414-I414-J414)</f>
        <v>0</v>
      </c>
      <c r="M414" s="10">
        <f>IFERROR(E414*VLOOKUP(C414,Products!$A$2:$G$204,4,FALSE),0)</f>
        <v>0</v>
      </c>
      <c r="N414" s="10">
        <f>IFERROR(E414*VLOOKUP(C414,Products!$A$2:$G$204,5,FALSE),0)</f>
        <v>0</v>
      </c>
      <c r="O414" s="10">
        <f>IF(E414="",0,L414-M414-N414)</f>
        <v>0</v>
      </c>
      <c r="P414" s="9"/>
      <c r="Q414" s="9"/>
    </row>
    <row r="415" spans="1:17" x14ac:dyDescent="0.2">
      <c r="A415" s="14"/>
      <c r="B415" s="6"/>
      <c r="C415" s="6"/>
      <c r="D415" s="6" t="str">
        <f>IFERROR(VLOOKUP(C415,Products!$A$2:$G$204,2,FALSE),"")</f>
        <v/>
      </c>
      <c r="E415" s="15"/>
      <c r="F415" s="7">
        <f>IFERROR(VLOOKUP(C415,Products!$A$2:$G$204,6,FALSE),0)</f>
        <v>0</v>
      </c>
      <c r="G415" s="7"/>
      <c r="H415" s="7"/>
      <c r="I415" s="7">
        <f>IF(OR(E415="",F415=""),0,MAX(0,(E415*F415-G415+H415)*IFERROR(VLOOKUP(C415,Products!$A$2:$G$204,7,FALSE),0)))</f>
        <v>0</v>
      </c>
      <c r="J415" s="7"/>
      <c r="K415" s="7">
        <f>IF(OR(E415="",F415=""),0,E415*F415)</f>
        <v>0</v>
      </c>
      <c r="L415" s="7">
        <f>IF(E415="",0,K415-G415+H415-I415-J415)</f>
        <v>0</v>
      </c>
      <c r="M415" s="7">
        <f>IFERROR(E415*VLOOKUP(C415,Products!$A$2:$G$204,4,FALSE),0)</f>
        <v>0</v>
      </c>
      <c r="N415" s="7">
        <f>IFERROR(E415*VLOOKUP(C415,Products!$A$2:$G$204,5,FALSE),0)</f>
        <v>0</v>
      </c>
      <c r="O415" s="7">
        <f>IF(E415="",0,L415-M415-N415)</f>
        <v>0</v>
      </c>
      <c r="P415" s="6"/>
      <c r="Q415" s="6"/>
    </row>
    <row r="416" spans="1:17" x14ac:dyDescent="0.2">
      <c r="A416" s="12"/>
      <c r="B416" s="9"/>
      <c r="C416" s="9"/>
      <c r="D416" s="9" t="str">
        <f>IFERROR(VLOOKUP(C416,Products!$A$2:$G$204,2,FALSE),"")</f>
        <v/>
      </c>
      <c r="E416" s="13"/>
      <c r="F416" s="10">
        <f>IFERROR(VLOOKUP(C416,Products!$A$2:$G$204,6,FALSE),0)</f>
        <v>0</v>
      </c>
      <c r="G416" s="10"/>
      <c r="H416" s="10"/>
      <c r="I416" s="10">
        <f>IF(OR(E416="",F416=""),0,MAX(0,(E416*F416-G416+H416)*IFERROR(VLOOKUP(C416,Products!$A$2:$G$204,7,FALSE),0)))</f>
        <v>0</v>
      </c>
      <c r="J416" s="10"/>
      <c r="K416" s="10">
        <f>IF(OR(E416="",F416=""),0,E416*F416)</f>
        <v>0</v>
      </c>
      <c r="L416" s="10">
        <f>IF(E416="",0,K416-G416+H416-I416-J416)</f>
        <v>0</v>
      </c>
      <c r="M416" s="10">
        <f>IFERROR(E416*VLOOKUP(C416,Products!$A$2:$G$204,4,FALSE),0)</f>
        <v>0</v>
      </c>
      <c r="N416" s="10">
        <f>IFERROR(E416*VLOOKUP(C416,Products!$A$2:$G$204,5,FALSE),0)</f>
        <v>0</v>
      </c>
      <c r="O416" s="10">
        <f>IF(E416="",0,L416-M416-N416)</f>
        <v>0</v>
      </c>
      <c r="P416" s="9"/>
      <c r="Q416" s="9"/>
    </row>
    <row r="417" spans="1:17" x14ac:dyDescent="0.2">
      <c r="A417" s="14"/>
      <c r="B417" s="6"/>
      <c r="C417" s="6"/>
      <c r="D417" s="6" t="str">
        <f>IFERROR(VLOOKUP(C417,Products!$A$2:$G$204,2,FALSE),"")</f>
        <v/>
      </c>
      <c r="E417" s="15"/>
      <c r="F417" s="7">
        <f>IFERROR(VLOOKUP(C417,Products!$A$2:$G$204,6,FALSE),0)</f>
        <v>0</v>
      </c>
      <c r="G417" s="7"/>
      <c r="H417" s="7"/>
      <c r="I417" s="7">
        <f>IF(OR(E417="",F417=""),0,MAX(0,(E417*F417-G417+H417)*IFERROR(VLOOKUP(C417,Products!$A$2:$G$204,7,FALSE),0)))</f>
        <v>0</v>
      </c>
      <c r="J417" s="7"/>
      <c r="K417" s="7">
        <f>IF(OR(E417="",F417=""),0,E417*F417)</f>
        <v>0</v>
      </c>
      <c r="L417" s="7">
        <f>IF(E417="",0,K417-G417+H417-I417-J417)</f>
        <v>0</v>
      </c>
      <c r="M417" s="7">
        <f>IFERROR(E417*VLOOKUP(C417,Products!$A$2:$G$204,4,FALSE),0)</f>
        <v>0</v>
      </c>
      <c r="N417" s="7">
        <f>IFERROR(E417*VLOOKUP(C417,Products!$A$2:$G$204,5,FALSE),0)</f>
        <v>0</v>
      </c>
      <c r="O417" s="7">
        <f>IF(E417="",0,L417-M417-N417)</f>
        <v>0</v>
      </c>
      <c r="P417" s="6"/>
      <c r="Q417" s="6"/>
    </row>
    <row r="418" spans="1:17" x14ac:dyDescent="0.2">
      <c r="A418" s="12"/>
      <c r="B418" s="9"/>
      <c r="C418" s="9"/>
      <c r="D418" s="9" t="str">
        <f>IFERROR(VLOOKUP(C418,Products!$A$2:$G$204,2,FALSE),"")</f>
        <v/>
      </c>
      <c r="E418" s="13"/>
      <c r="F418" s="10">
        <f>IFERROR(VLOOKUP(C418,Products!$A$2:$G$204,6,FALSE),0)</f>
        <v>0</v>
      </c>
      <c r="G418" s="10"/>
      <c r="H418" s="10"/>
      <c r="I418" s="10">
        <f>IF(OR(E418="",F418=""),0,MAX(0,(E418*F418-G418+H418)*IFERROR(VLOOKUP(C418,Products!$A$2:$G$204,7,FALSE),0)))</f>
        <v>0</v>
      </c>
      <c r="J418" s="10"/>
      <c r="K418" s="10">
        <f>IF(OR(E418="",F418=""),0,E418*F418)</f>
        <v>0</v>
      </c>
      <c r="L418" s="10">
        <f>IF(E418="",0,K418-G418+H418-I418-J418)</f>
        <v>0</v>
      </c>
      <c r="M418" s="10">
        <f>IFERROR(E418*VLOOKUP(C418,Products!$A$2:$G$204,4,FALSE),0)</f>
        <v>0</v>
      </c>
      <c r="N418" s="10">
        <f>IFERROR(E418*VLOOKUP(C418,Products!$A$2:$G$204,5,FALSE),0)</f>
        <v>0</v>
      </c>
      <c r="O418" s="10">
        <f>IF(E418="",0,L418-M418-N418)</f>
        <v>0</v>
      </c>
      <c r="P418" s="9"/>
      <c r="Q418" s="9"/>
    </row>
    <row r="419" spans="1:17" x14ac:dyDescent="0.2">
      <c r="A419" s="14"/>
      <c r="B419" s="6"/>
      <c r="C419" s="6"/>
      <c r="D419" s="6" t="str">
        <f>IFERROR(VLOOKUP(C419,Products!$A$2:$G$204,2,FALSE),"")</f>
        <v/>
      </c>
      <c r="E419" s="15"/>
      <c r="F419" s="7">
        <f>IFERROR(VLOOKUP(C419,Products!$A$2:$G$204,6,FALSE),0)</f>
        <v>0</v>
      </c>
      <c r="G419" s="7"/>
      <c r="H419" s="7"/>
      <c r="I419" s="7">
        <f>IF(OR(E419="",F419=""),0,MAX(0,(E419*F419-G419+H419)*IFERROR(VLOOKUP(C419,Products!$A$2:$G$204,7,FALSE),0)))</f>
        <v>0</v>
      </c>
      <c r="J419" s="7"/>
      <c r="K419" s="7">
        <f>IF(OR(E419="",F419=""),0,E419*F419)</f>
        <v>0</v>
      </c>
      <c r="L419" s="7">
        <f>IF(E419="",0,K419-G419+H419-I419-J419)</f>
        <v>0</v>
      </c>
      <c r="M419" s="7">
        <f>IFERROR(E419*VLOOKUP(C419,Products!$A$2:$G$204,4,FALSE),0)</f>
        <v>0</v>
      </c>
      <c r="N419" s="7">
        <f>IFERROR(E419*VLOOKUP(C419,Products!$A$2:$G$204,5,FALSE),0)</f>
        <v>0</v>
      </c>
      <c r="O419" s="7">
        <f>IF(E419="",0,L419-M419-N419)</f>
        <v>0</v>
      </c>
      <c r="P419" s="6"/>
      <c r="Q419" s="6"/>
    </row>
    <row r="420" spans="1:17" x14ac:dyDescent="0.2">
      <c r="A420" s="12"/>
      <c r="B420" s="9"/>
      <c r="C420" s="9"/>
      <c r="D420" s="9" t="str">
        <f>IFERROR(VLOOKUP(C420,Products!$A$2:$G$204,2,FALSE),"")</f>
        <v/>
      </c>
      <c r="E420" s="13"/>
      <c r="F420" s="10">
        <f>IFERROR(VLOOKUP(C420,Products!$A$2:$G$204,6,FALSE),0)</f>
        <v>0</v>
      </c>
      <c r="G420" s="10"/>
      <c r="H420" s="10"/>
      <c r="I420" s="10">
        <f>IF(OR(E420="",F420=""),0,MAX(0,(E420*F420-G420+H420)*IFERROR(VLOOKUP(C420,Products!$A$2:$G$204,7,FALSE),0)))</f>
        <v>0</v>
      </c>
      <c r="J420" s="10"/>
      <c r="K420" s="10">
        <f>IF(OR(E420="",F420=""),0,E420*F420)</f>
        <v>0</v>
      </c>
      <c r="L420" s="10">
        <f>IF(E420="",0,K420-G420+H420-I420-J420)</f>
        <v>0</v>
      </c>
      <c r="M420" s="10">
        <f>IFERROR(E420*VLOOKUP(C420,Products!$A$2:$G$204,4,FALSE),0)</f>
        <v>0</v>
      </c>
      <c r="N420" s="10">
        <f>IFERROR(E420*VLOOKUP(C420,Products!$A$2:$G$204,5,FALSE),0)</f>
        <v>0</v>
      </c>
      <c r="O420" s="10">
        <f>IF(E420="",0,L420-M420-N420)</f>
        <v>0</v>
      </c>
      <c r="P420" s="9"/>
      <c r="Q420" s="9"/>
    </row>
    <row r="421" spans="1:17" x14ac:dyDescent="0.2">
      <c r="A421" s="14"/>
      <c r="B421" s="6"/>
      <c r="C421" s="6"/>
      <c r="D421" s="6" t="str">
        <f>IFERROR(VLOOKUP(C421,Products!$A$2:$G$204,2,FALSE),"")</f>
        <v/>
      </c>
      <c r="E421" s="15"/>
      <c r="F421" s="7">
        <f>IFERROR(VLOOKUP(C421,Products!$A$2:$G$204,6,FALSE),0)</f>
        <v>0</v>
      </c>
      <c r="G421" s="7"/>
      <c r="H421" s="7"/>
      <c r="I421" s="7">
        <f>IF(OR(E421="",F421=""),0,MAX(0,(E421*F421-G421+H421)*IFERROR(VLOOKUP(C421,Products!$A$2:$G$204,7,FALSE),0)))</f>
        <v>0</v>
      </c>
      <c r="J421" s="7"/>
      <c r="K421" s="7">
        <f>IF(OR(E421="",F421=""),0,E421*F421)</f>
        <v>0</v>
      </c>
      <c r="L421" s="7">
        <f>IF(E421="",0,K421-G421+H421-I421-J421)</f>
        <v>0</v>
      </c>
      <c r="M421" s="7">
        <f>IFERROR(E421*VLOOKUP(C421,Products!$A$2:$G$204,4,FALSE),0)</f>
        <v>0</v>
      </c>
      <c r="N421" s="7">
        <f>IFERROR(E421*VLOOKUP(C421,Products!$A$2:$G$204,5,FALSE),0)</f>
        <v>0</v>
      </c>
      <c r="O421" s="7">
        <f>IF(E421="",0,L421-M421-N421)</f>
        <v>0</v>
      </c>
      <c r="P421" s="6"/>
      <c r="Q421" s="6"/>
    </row>
    <row r="422" spans="1:17" x14ac:dyDescent="0.2">
      <c r="A422" s="12"/>
      <c r="B422" s="9"/>
      <c r="C422" s="9"/>
      <c r="D422" s="9" t="str">
        <f>IFERROR(VLOOKUP(C422,Products!$A$2:$G$204,2,FALSE),"")</f>
        <v/>
      </c>
      <c r="E422" s="13"/>
      <c r="F422" s="10">
        <f>IFERROR(VLOOKUP(C422,Products!$A$2:$G$204,6,FALSE),0)</f>
        <v>0</v>
      </c>
      <c r="G422" s="10"/>
      <c r="H422" s="10"/>
      <c r="I422" s="10">
        <f>IF(OR(E422="",F422=""),0,MAX(0,(E422*F422-G422+H422)*IFERROR(VLOOKUP(C422,Products!$A$2:$G$204,7,FALSE),0)))</f>
        <v>0</v>
      </c>
      <c r="J422" s="10"/>
      <c r="K422" s="10">
        <f>IF(OR(E422="",F422=""),0,E422*F422)</f>
        <v>0</v>
      </c>
      <c r="L422" s="10">
        <f>IF(E422="",0,K422-G422+H422-I422-J422)</f>
        <v>0</v>
      </c>
      <c r="M422" s="10">
        <f>IFERROR(E422*VLOOKUP(C422,Products!$A$2:$G$204,4,FALSE),0)</f>
        <v>0</v>
      </c>
      <c r="N422" s="10">
        <f>IFERROR(E422*VLOOKUP(C422,Products!$A$2:$G$204,5,FALSE),0)</f>
        <v>0</v>
      </c>
      <c r="O422" s="10">
        <f>IF(E422="",0,L422-M422-N422)</f>
        <v>0</v>
      </c>
      <c r="P422" s="9"/>
      <c r="Q422" s="9"/>
    </row>
    <row r="423" spans="1:17" x14ac:dyDescent="0.2">
      <c r="A423" s="14"/>
      <c r="B423" s="6"/>
      <c r="C423" s="6"/>
      <c r="D423" s="6" t="str">
        <f>IFERROR(VLOOKUP(C423,Products!$A$2:$G$204,2,FALSE),"")</f>
        <v/>
      </c>
      <c r="E423" s="15"/>
      <c r="F423" s="7">
        <f>IFERROR(VLOOKUP(C423,Products!$A$2:$G$204,6,FALSE),0)</f>
        <v>0</v>
      </c>
      <c r="G423" s="7"/>
      <c r="H423" s="7"/>
      <c r="I423" s="7">
        <f>IF(OR(E423="",F423=""),0,MAX(0,(E423*F423-G423+H423)*IFERROR(VLOOKUP(C423,Products!$A$2:$G$204,7,FALSE),0)))</f>
        <v>0</v>
      </c>
      <c r="J423" s="7"/>
      <c r="K423" s="7">
        <f>IF(OR(E423="",F423=""),0,E423*F423)</f>
        <v>0</v>
      </c>
      <c r="L423" s="7">
        <f>IF(E423="",0,K423-G423+H423-I423-J423)</f>
        <v>0</v>
      </c>
      <c r="M423" s="7">
        <f>IFERROR(E423*VLOOKUP(C423,Products!$A$2:$G$204,4,FALSE),0)</f>
        <v>0</v>
      </c>
      <c r="N423" s="7">
        <f>IFERROR(E423*VLOOKUP(C423,Products!$A$2:$G$204,5,FALSE),0)</f>
        <v>0</v>
      </c>
      <c r="O423" s="7">
        <f>IF(E423="",0,L423-M423-N423)</f>
        <v>0</v>
      </c>
      <c r="P423" s="6"/>
      <c r="Q423" s="6"/>
    </row>
    <row r="424" spans="1:17" x14ac:dyDescent="0.2">
      <c r="A424" s="12"/>
      <c r="B424" s="9"/>
      <c r="C424" s="9"/>
      <c r="D424" s="9" t="str">
        <f>IFERROR(VLOOKUP(C424,Products!$A$2:$G$204,2,FALSE),"")</f>
        <v/>
      </c>
      <c r="E424" s="13"/>
      <c r="F424" s="10">
        <f>IFERROR(VLOOKUP(C424,Products!$A$2:$G$204,6,FALSE),0)</f>
        <v>0</v>
      </c>
      <c r="G424" s="10"/>
      <c r="H424" s="10"/>
      <c r="I424" s="10">
        <f>IF(OR(E424="",F424=""),0,MAX(0,(E424*F424-G424+H424)*IFERROR(VLOOKUP(C424,Products!$A$2:$G$204,7,FALSE),0)))</f>
        <v>0</v>
      </c>
      <c r="J424" s="10"/>
      <c r="K424" s="10">
        <f>IF(OR(E424="",F424=""),0,E424*F424)</f>
        <v>0</v>
      </c>
      <c r="L424" s="10">
        <f>IF(E424="",0,K424-G424+H424-I424-J424)</f>
        <v>0</v>
      </c>
      <c r="M424" s="10">
        <f>IFERROR(E424*VLOOKUP(C424,Products!$A$2:$G$204,4,FALSE),0)</f>
        <v>0</v>
      </c>
      <c r="N424" s="10">
        <f>IFERROR(E424*VLOOKUP(C424,Products!$A$2:$G$204,5,FALSE),0)</f>
        <v>0</v>
      </c>
      <c r="O424" s="10">
        <f>IF(E424="",0,L424-M424-N424)</f>
        <v>0</v>
      </c>
      <c r="P424" s="9"/>
      <c r="Q424" s="9"/>
    </row>
    <row r="425" spans="1:17" x14ac:dyDescent="0.2">
      <c r="A425" s="14"/>
      <c r="B425" s="6"/>
      <c r="C425" s="6"/>
      <c r="D425" s="6" t="str">
        <f>IFERROR(VLOOKUP(C425,Products!$A$2:$G$204,2,FALSE),"")</f>
        <v/>
      </c>
      <c r="E425" s="15"/>
      <c r="F425" s="7">
        <f>IFERROR(VLOOKUP(C425,Products!$A$2:$G$204,6,FALSE),0)</f>
        <v>0</v>
      </c>
      <c r="G425" s="7"/>
      <c r="H425" s="7"/>
      <c r="I425" s="7">
        <f>IF(OR(E425="",F425=""),0,MAX(0,(E425*F425-G425+H425)*IFERROR(VLOOKUP(C425,Products!$A$2:$G$204,7,FALSE),0)))</f>
        <v>0</v>
      </c>
      <c r="J425" s="7"/>
      <c r="K425" s="7">
        <f>IF(OR(E425="",F425=""),0,E425*F425)</f>
        <v>0</v>
      </c>
      <c r="L425" s="7">
        <f>IF(E425="",0,K425-G425+H425-I425-J425)</f>
        <v>0</v>
      </c>
      <c r="M425" s="7">
        <f>IFERROR(E425*VLOOKUP(C425,Products!$A$2:$G$204,4,FALSE),0)</f>
        <v>0</v>
      </c>
      <c r="N425" s="7">
        <f>IFERROR(E425*VLOOKUP(C425,Products!$A$2:$G$204,5,FALSE),0)</f>
        <v>0</v>
      </c>
      <c r="O425" s="7">
        <f>IF(E425="",0,L425-M425-N425)</f>
        <v>0</v>
      </c>
      <c r="P425" s="6"/>
      <c r="Q425" s="6"/>
    </row>
    <row r="426" spans="1:17" x14ac:dyDescent="0.2">
      <c r="A426" s="12"/>
      <c r="B426" s="9"/>
      <c r="C426" s="9"/>
      <c r="D426" s="9" t="str">
        <f>IFERROR(VLOOKUP(C426,Products!$A$2:$G$204,2,FALSE),"")</f>
        <v/>
      </c>
      <c r="E426" s="13"/>
      <c r="F426" s="10">
        <f>IFERROR(VLOOKUP(C426,Products!$A$2:$G$204,6,FALSE),0)</f>
        <v>0</v>
      </c>
      <c r="G426" s="10"/>
      <c r="H426" s="10"/>
      <c r="I426" s="10">
        <f>IF(OR(E426="",F426=""),0,MAX(0,(E426*F426-G426+H426)*IFERROR(VLOOKUP(C426,Products!$A$2:$G$204,7,FALSE),0)))</f>
        <v>0</v>
      </c>
      <c r="J426" s="10"/>
      <c r="K426" s="10">
        <f>IF(OR(E426="",F426=""),0,E426*F426)</f>
        <v>0</v>
      </c>
      <c r="L426" s="10">
        <f>IF(E426="",0,K426-G426+H426-I426-J426)</f>
        <v>0</v>
      </c>
      <c r="M426" s="10">
        <f>IFERROR(E426*VLOOKUP(C426,Products!$A$2:$G$204,4,FALSE),0)</f>
        <v>0</v>
      </c>
      <c r="N426" s="10">
        <f>IFERROR(E426*VLOOKUP(C426,Products!$A$2:$G$204,5,FALSE),0)</f>
        <v>0</v>
      </c>
      <c r="O426" s="10">
        <f>IF(E426="",0,L426-M426-N426)</f>
        <v>0</v>
      </c>
      <c r="P426" s="9"/>
      <c r="Q426" s="9"/>
    </row>
    <row r="427" spans="1:17" x14ac:dyDescent="0.2">
      <c r="A427" s="14"/>
      <c r="B427" s="6"/>
      <c r="C427" s="6"/>
      <c r="D427" s="6" t="str">
        <f>IFERROR(VLOOKUP(C427,Products!$A$2:$G$204,2,FALSE),"")</f>
        <v/>
      </c>
      <c r="E427" s="15"/>
      <c r="F427" s="7">
        <f>IFERROR(VLOOKUP(C427,Products!$A$2:$G$204,6,FALSE),0)</f>
        <v>0</v>
      </c>
      <c r="G427" s="7"/>
      <c r="H427" s="7"/>
      <c r="I427" s="7">
        <f>IF(OR(E427="",F427=""),0,MAX(0,(E427*F427-G427+H427)*IFERROR(VLOOKUP(C427,Products!$A$2:$G$204,7,FALSE),0)))</f>
        <v>0</v>
      </c>
      <c r="J427" s="7"/>
      <c r="K427" s="7">
        <f>IF(OR(E427="",F427=""),0,E427*F427)</f>
        <v>0</v>
      </c>
      <c r="L427" s="7">
        <f>IF(E427="",0,K427-G427+H427-I427-J427)</f>
        <v>0</v>
      </c>
      <c r="M427" s="7">
        <f>IFERROR(E427*VLOOKUP(C427,Products!$A$2:$G$204,4,FALSE),0)</f>
        <v>0</v>
      </c>
      <c r="N427" s="7">
        <f>IFERROR(E427*VLOOKUP(C427,Products!$A$2:$G$204,5,FALSE),0)</f>
        <v>0</v>
      </c>
      <c r="O427" s="7">
        <f>IF(E427="",0,L427-M427-N427)</f>
        <v>0</v>
      </c>
      <c r="P427" s="6"/>
      <c r="Q427" s="6"/>
    </row>
    <row r="428" spans="1:17" x14ac:dyDescent="0.2">
      <c r="A428" s="12"/>
      <c r="B428" s="9"/>
      <c r="C428" s="9"/>
      <c r="D428" s="9" t="str">
        <f>IFERROR(VLOOKUP(C428,Products!$A$2:$G$204,2,FALSE),"")</f>
        <v/>
      </c>
      <c r="E428" s="13"/>
      <c r="F428" s="10">
        <f>IFERROR(VLOOKUP(C428,Products!$A$2:$G$204,6,FALSE),0)</f>
        <v>0</v>
      </c>
      <c r="G428" s="10"/>
      <c r="H428" s="10"/>
      <c r="I428" s="10">
        <f>IF(OR(E428="",F428=""),0,MAX(0,(E428*F428-G428+H428)*IFERROR(VLOOKUP(C428,Products!$A$2:$G$204,7,FALSE),0)))</f>
        <v>0</v>
      </c>
      <c r="J428" s="10"/>
      <c r="K428" s="10">
        <f>IF(OR(E428="",F428=""),0,E428*F428)</f>
        <v>0</v>
      </c>
      <c r="L428" s="10">
        <f>IF(E428="",0,K428-G428+H428-I428-J428)</f>
        <v>0</v>
      </c>
      <c r="M428" s="10">
        <f>IFERROR(E428*VLOOKUP(C428,Products!$A$2:$G$204,4,FALSE),0)</f>
        <v>0</v>
      </c>
      <c r="N428" s="10">
        <f>IFERROR(E428*VLOOKUP(C428,Products!$A$2:$G$204,5,FALSE),0)</f>
        <v>0</v>
      </c>
      <c r="O428" s="10">
        <f>IF(E428="",0,L428-M428-N428)</f>
        <v>0</v>
      </c>
      <c r="P428" s="9"/>
      <c r="Q428" s="9"/>
    </row>
    <row r="429" spans="1:17" x14ac:dyDescent="0.2">
      <c r="A429" s="14"/>
      <c r="B429" s="6"/>
      <c r="C429" s="6"/>
      <c r="D429" s="6" t="str">
        <f>IFERROR(VLOOKUP(C429,Products!$A$2:$G$204,2,FALSE),"")</f>
        <v/>
      </c>
      <c r="E429" s="15"/>
      <c r="F429" s="7">
        <f>IFERROR(VLOOKUP(C429,Products!$A$2:$G$204,6,FALSE),0)</f>
        <v>0</v>
      </c>
      <c r="G429" s="7"/>
      <c r="H429" s="7"/>
      <c r="I429" s="7">
        <f>IF(OR(E429="",F429=""),0,MAX(0,(E429*F429-G429+H429)*IFERROR(VLOOKUP(C429,Products!$A$2:$G$204,7,FALSE),0)))</f>
        <v>0</v>
      </c>
      <c r="J429" s="7"/>
      <c r="K429" s="7">
        <f>IF(OR(E429="",F429=""),0,E429*F429)</f>
        <v>0</v>
      </c>
      <c r="L429" s="7">
        <f>IF(E429="",0,K429-G429+H429-I429-J429)</f>
        <v>0</v>
      </c>
      <c r="M429" s="7">
        <f>IFERROR(E429*VLOOKUP(C429,Products!$A$2:$G$204,4,FALSE),0)</f>
        <v>0</v>
      </c>
      <c r="N429" s="7">
        <f>IFERROR(E429*VLOOKUP(C429,Products!$A$2:$G$204,5,FALSE),0)</f>
        <v>0</v>
      </c>
      <c r="O429" s="7">
        <f>IF(E429="",0,L429-M429-N429)</f>
        <v>0</v>
      </c>
      <c r="P429" s="6"/>
      <c r="Q429" s="6"/>
    </row>
    <row r="430" spans="1:17" x14ac:dyDescent="0.2">
      <c r="A430" s="12"/>
      <c r="B430" s="9"/>
      <c r="C430" s="9"/>
      <c r="D430" s="9" t="str">
        <f>IFERROR(VLOOKUP(C430,Products!$A$2:$G$204,2,FALSE),"")</f>
        <v/>
      </c>
      <c r="E430" s="13"/>
      <c r="F430" s="10">
        <f>IFERROR(VLOOKUP(C430,Products!$A$2:$G$204,6,FALSE),0)</f>
        <v>0</v>
      </c>
      <c r="G430" s="10"/>
      <c r="H430" s="10"/>
      <c r="I430" s="10">
        <f>IF(OR(E430="",F430=""),0,MAX(0,(E430*F430-G430+H430)*IFERROR(VLOOKUP(C430,Products!$A$2:$G$204,7,FALSE),0)))</f>
        <v>0</v>
      </c>
      <c r="J430" s="10"/>
      <c r="K430" s="10">
        <f>IF(OR(E430="",F430=""),0,E430*F430)</f>
        <v>0</v>
      </c>
      <c r="L430" s="10">
        <f>IF(E430="",0,K430-G430+H430-I430-J430)</f>
        <v>0</v>
      </c>
      <c r="M430" s="10">
        <f>IFERROR(E430*VLOOKUP(C430,Products!$A$2:$G$204,4,FALSE),0)</f>
        <v>0</v>
      </c>
      <c r="N430" s="10">
        <f>IFERROR(E430*VLOOKUP(C430,Products!$A$2:$G$204,5,FALSE),0)</f>
        <v>0</v>
      </c>
      <c r="O430" s="10">
        <f>IF(E430="",0,L430-M430-N430)</f>
        <v>0</v>
      </c>
      <c r="P430" s="9"/>
      <c r="Q430" s="9"/>
    </row>
    <row r="431" spans="1:17" x14ac:dyDescent="0.2">
      <c r="A431" s="14"/>
      <c r="B431" s="6"/>
      <c r="C431" s="6"/>
      <c r="D431" s="6" t="str">
        <f>IFERROR(VLOOKUP(C431,Products!$A$2:$G$204,2,FALSE),"")</f>
        <v/>
      </c>
      <c r="E431" s="15"/>
      <c r="F431" s="7">
        <f>IFERROR(VLOOKUP(C431,Products!$A$2:$G$204,6,FALSE),0)</f>
        <v>0</v>
      </c>
      <c r="G431" s="7"/>
      <c r="H431" s="7"/>
      <c r="I431" s="7">
        <f>IF(OR(E431="",F431=""),0,MAX(0,(E431*F431-G431+H431)*IFERROR(VLOOKUP(C431,Products!$A$2:$G$204,7,FALSE),0)))</f>
        <v>0</v>
      </c>
      <c r="J431" s="7"/>
      <c r="K431" s="7">
        <f>IF(OR(E431="",F431=""),0,E431*F431)</f>
        <v>0</v>
      </c>
      <c r="L431" s="7">
        <f>IF(E431="",0,K431-G431+H431-I431-J431)</f>
        <v>0</v>
      </c>
      <c r="M431" s="7">
        <f>IFERROR(E431*VLOOKUP(C431,Products!$A$2:$G$204,4,FALSE),0)</f>
        <v>0</v>
      </c>
      <c r="N431" s="7">
        <f>IFERROR(E431*VLOOKUP(C431,Products!$A$2:$G$204,5,FALSE),0)</f>
        <v>0</v>
      </c>
      <c r="O431" s="7">
        <f>IF(E431="",0,L431-M431-N431)</f>
        <v>0</v>
      </c>
      <c r="P431" s="6"/>
      <c r="Q431" s="6"/>
    </row>
    <row r="432" spans="1:17" x14ac:dyDescent="0.2">
      <c r="A432" s="12"/>
      <c r="B432" s="9"/>
      <c r="C432" s="9"/>
      <c r="D432" s="9" t="str">
        <f>IFERROR(VLOOKUP(C432,Products!$A$2:$G$204,2,FALSE),"")</f>
        <v/>
      </c>
      <c r="E432" s="13"/>
      <c r="F432" s="10">
        <f>IFERROR(VLOOKUP(C432,Products!$A$2:$G$204,6,FALSE),0)</f>
        <v>0</v>
      </c>
      <c r="G432" s="10"/>
      <c r="H432" s="10"/>
      <c r="I432" s="10">
        <f>IF(OR(E432="",F432=""),0,MAX(0,(E432*F432-G432+H432)*IFERROR(VLOOKUP(C432,Products!$A$2:$G$204,7,FALSE),0)))</f>
        <v>0</v>
      </c>
      <c r="J432" s="10"/>
      <c r="K432" s="10">
        <f>IF(OR(E432="",F432=""),0,E432*F432)</f>
        <v>0</v>
      </c>
      <c r="L432" s="10">
        <f>IF(E432="",0,K432-G432+H432-I432-J432)</f>
        <v>0</v>
      </c>
      <c r="M432" s="10">
        <f>IFERROR(E432*VLOOKUP(C432,Products!$A$2:$G$204,4,FALSE),0)</f>
        <v>0</v>
      </c>
      <c r="N432" s="10">
        <f>IFERROR(E432*VLOOKUP(C432,Products!$A$2:$G$204,5,FALSE),0)</f>
        <v>0</v>
      </c>
      <c r="O432" s="10">
        <f>IF(E432="",0,L432-M432-N432)</f>
        <v>0</v>
      </c>
      <c r="P432" s="9"/>
      <c r="Q432" s="9"/>
    </row>
    <row r="433" spans="1:17" x14ac:dyDescent="0.2">
      <c r="A433" s="14"/>
      <c r="B433" s="6"/>
      <c r="C433" s="6"/>
      <c r="D433" s="6" t="str">
        <f>IFERROR(VLOOKUP(C433,Products!$A$2:$G$204,2,FALSE),"")</f>
        <v/>
      </c>
      <c r="E433" s="15"/>
      <c r="F433" s="7">
        <f>IFERROR(VLOOKUP(C433,Products!$A$2:$G$204,6,FALSE),0)</f>
        <v>0</v>
      </c>
      <c r="G433" s="7"/>
      <c r="H433" s="7"/>
      <c r="I433" s="7">
        <f>IF(OR(E433="",F433=""),0,MAX(0,(E433*F433-G433+H433)*IFERROR(VLOOKUP(C433,Products!$A$2:$G$204,7,FALSE),0)))</f>
        <v>0</v>
      </c>
      <c r="J433" s="7"/>
      <c r="K433" s="7">
        <f>IF(OR(E433="",F433=""),0,E433*F433)</f>
        <v>0</v>
      </c>
      <c r="L433" s="7">
        <f>IF(E433="",0,K433-G433+H433-I433-J433)</f>
        <v>0</v>
      </c>
      <c r="M433" s="7">
        <f>IFERROR(E433*VLOOKUP(C433,Products!$A$2:$G$204,4,FALSE),0)</f>
        <v>0</v>
      </c>
      <c r="N433" s="7">
        <f>IFERROR(E433*VLOOKUP(C433,Products!$A$2:$G$204,5,FALSE),0)</f>
        <v>0</v>
      </c>
      <c r="O433" s="7">
        <f>IF(E433="",0,L433-M433-N433)</f>
        <v>0</v>
      </c>
      <c r="P433" s="6"/>
      <c r="Q433" s="6"/>
    </row>
    <row r="434" spans="1:17" x14ac:dyDescent="0.2">
      <c r="A434" s="12"/>
      <c r="B434" s="9"/>
      <c r="C434" s="9"/>
      <c r="D434" s="9" t="str">
        <f>IFERROR(VLOOKUP(C434,Products!$A$2:$G$204,2,FALSE),"")</f>
        <v/>
      </c>
      <c r="E434" s="13"/>
      <c r="F434" s="10">
        <f>IFERROR(VLOOKUP(C434,Products!$A$2:$G$204,6,FALSE),0)</f>
        <v>0</v>
      </c>
      <c r="G434" s="10"/>
      <c r="H434" s="10"/>
      <c r="I434" s="10">
        <f>IF(OR(E434="",F434=""),0,MAX(0,(E434*F434-G434+H434)*IFERROR(VLOOKUP(C434,Products!$A$2:$G$204,7,FALSE),0)))</f>
        <v>0</v>
      </c>
      <c r="J434" s="10"/>
      <c r="K434" s="10">
        <f>IF(OR(E434="",F434=""),0,E434*F434)</f>
        <v>0</v>
      </c>
      <c r="L434" s="10">
        <f>IF(E434="",0,K434-G434+H434-I434-J434)</f>
        <v>0</v>
      </c>
      <c r="M434" s="10">
        <f>IFERROR(E434*VLOOKUP(C434,Products!$A$2:$G$204,4,FALSE),0)</f>
        <v>0</v>
      </c>
      <c r="N434" s="10">
        <f>IFERROR(E434*VLOOKUP(C434,Products!$A$2:$G$204,5,FALSE),0)</f>
        <v>0</v>
      </c>
      <c r="O434" s="10">
        <f>IF(E434="",0,L434-M434-N434)</f>
        <v>0</v>
      </c>
      <c r="P434" s="9"/>
      <c r="Q434" s="9"/>
    </row>
    <row r="435" spans="1:17" x14ac:dyDescent="0.2">
      <c r="A435" s="14"/>
      <c r="B435" s="6"/>
      <c r="C435" s="6"/>
      <c r="D435" s="6" t="str">
        <f>IFERROR(VLOOKUP(C435,Products!$A$2:$G$204,2,FALSE),"")</f>
        <v/>
      </c>
      <c r="E435" s="15"/>
      <c r="F435" s="7">
        <f>IFERROR(VLOOKUP(C435,Products!$A$2:$G$204,6,FALSE),0)</f>
        <v>0</v>
      </c>
      <c r="G435" s="7"/>
      <c r="H435" s="7"/>
      <c r="I435" s="7">
        <f>IF(OR(E435="",F435=""),0,MAX(0,(E435*F435-G435+H435)*IFERROR(VLOOKUP(C435,Products!$A$2:$G$204,7,FALSE),0)))</f>
        <v>0</v>
      </c>
      <c r="J435" s="7"/>
      <c r="K435" s="7">
        <f>IF(OR(E435="",F435=""),0,E435*F435)</f>
        <v>0</v>
      </c>
      <c r="L435" s="7">
        <f>IF(E435="",0,K435-G435+H435-I435-J435)</f>
        <v>0</v>
      </c>
      <c r="M435" s="7">
        <f>IFERROR(E435*VLOOKUP(C435,Products!$A$2:$G$204,4,FALSE),0)</f>
        <v>0</v>
      </c>
      <c r="N435" s="7">
        <f>IFERROR(E435*VLOOKUP(C435,Products!$A$2:$G$204,5,FALSE),0)</f>
        <v>0</v>
      </c>
      <c r="O435" s="7">
        <f>IF(E435="",0,L435-M435-N435)</f>
        <v>0</v>
      </c>
      <c r="P435" s="6"/>
      <c r="Q435" s="6"/>
    </row>
    <row r="436" spans="1:17" x14ac:dyDescent="0.2">
      <c r="A436" s="12"/>
      <c r="B436" s="9"/>
      <c r="C436" s="9"/>
      <c r="D436" s="9" t="str">
        <f>IFERROR(VLOOKUP(C436,Products!$A$2:$G$204,2,FALSE),"")</f>
        <v/>
      </c>
      <c r="E436" s="13"/>
      <c r="F436" s="10">
        <f>IFERROR(VLOOKUP(C436,Products!$A$2:$G$204,6,FALSE),0)</f>
        <v>0</v>
      </c>
      <c r="G436" s="10"/>
      <c r="H436" s="10"/>
      <c r="I436" s="10">
        <f>IF(OR(E436="",F436=""),0,MAX(0,(E436*F436-G436+H436)*IFERROR(VLOOKUP(C436,Products!$A$2:$G$204,7,FALSE),0)))</f>
        <v>0</v>
      </c>
      <c r="J436" s="10"/>
      <c r="K436" s="10">
        <f>IF(OR(E436="",F436=""),0,E436*F436)</f>
        <v>0</v>
      </c>
      <c r="L436" s="10">
        <f>IF(E436="",0,K436-G436+H436-I436-J436)</f>
        <v>0</v>
      </c>
      <c r="M436" s="10">
        <f>IFERROR(E436*VLOOKUP(C436,Products!$A$2:$G$204,4,FALSE),0)</f>
        <v>0</v>
      </c>
      <c r="N436" s="10">
        <f>IFERROR(E436*VLOOKUP(C436,Products!$A$2:$G$204,5,FALSE),0)</f>
        <v>0</v>
      </c>
      <c r="O436" s="10">
        <f>IF(E436="",0,L436-M436-N436)</f>
        <v>0</v>
      </c>
      <c r="P436" s="9"/>
      <c r="Q436" s="9"/>
    </row>
    <row r="437" spans="1:17" x14ac:dyDescent="0.2">
      <c r="A437" s="14"/>
      <c r="B437" s="6"/>
      <c r="C437" s="6"/>
      <c r="D437" s="6" t="str">
        <f>IFERROR(VLOOKUP(C437,Products!$A$2:$G$204,2,FALSE),"")</f>
        <v/>
      </c>
      <c r="E437" s="15"/>
      <c r="F437" s="7">
        <f>IFERROR(VLOOKUP(C437,Products!$A$2:$G$204,6,FALSE),0)</f>
        <v>0</v>
      </c>
      <c r="G437" s="7"/>
      <c r="H437" s="7"/>
      <c r="I437" s="7">
        <f>IF(OR(E437="",F437=""),0,MAX(0,(E437*F437-G437+H437)*IFERROR(VLOOKUP(C437,Products!$A$2:$G$204,7,FALSE),0)))</f>
        <v>0</v>
      </c>
      <c r="J437" s="7"/>
      <c r="K437" s="7">
        <f>IF(OR(E437="",F437=""),0,E437*F437)</f>
        <v>0</v>
      </c>
      <c r="L437" s="7">
        <f>IF(E437="",0,K437-G437+H437-I437-J437)</f>
        <v>0</v>
      </c>
      <c r="M437" s="7">
        <f>IFERROR(E437*VLOOKUP(C437,Products!$A$2:$G$204,4,FALSE),0)</f>
        <v>0</v>
      </c>
      <c r="N437" s="7">
        <f>IFERROR(E437*VLOOKUP(C437,Products!$A$2:$G$204,5,FALSE),0)</f>
        <v>0</v>
      </c>
      <c r="O437" s="7">
        <f>IF(E437="",0,L437-M437-N437)</f>
        <v>0</v>
      </c>
      <c r="P437" s="6"/>
      <c r="Q437" s="6"/>
    </row>
    <row r="438" spans="1:17" x14ac:dyDescent="0.2">
      <c r="A438" s="12"/>
      <c r="B438" s="9"/>
      <c r="C438" s="9"/>
      <c r="D438" s="9" t="str">
        <f>IFERROR(VLOOKUP(C438,Products!$A$2:$G$204,2,FALSE),"")</f>
        <v/>
      </c>
      <c r="E438" s="13"/>
      <c r="F438" s="10">
        <f>IFERROR(VLOOKUP(C438,Products!$A$2:$G$204,6,FALSE),0)</f>
        <v>0</v>
      </c>
      <c r="G438" s="10"/>
      <c r="H438" s="10"/>
      <c r="I438" s="10">
        <f>IF(OR(E438="",F438=""),0,MAX(0,(E438*F438-G438+H438)*IFERROR(VLOOKUP(C438,Products!$A$2:$G$204,7,FALSE),0)))</f>
        <v>0</v>
      </c>
      <c r="J438" s="10"/>
      <c r="K438" s="10">
        <f>IF(OR(E438="",F438=""),0,E438*F438)</f>
        <v>0</v>
      </c>
      <c r="L438" s="10">
        <f>IF(E438="",0,K438-G438+H438-I438-J438)</f>
        <v>0</v>
      </c>
      <c r="M438" s="10">
        <f>IFERROR(E438*VLOOKUP(C438,Products!$A$2:$G$204,4,FALSE),0)</f>
        <v>0</v>
      </c>
      <c r="N438" s="10">
        <f>IFERROR(E438*VLOOKUP(C438,Products!$A$2:$G$204,5,FALSE),0)</f>
        <v>0</v>
      </c>
      <c r="O438" s="10">
        <f>IF(E438="",0,L438-M438-N438)</f>
        <v>0</v>
      </c>
      <c r="P438" s="9"/>
      <c r="Q438" s="9"/>
    </row>
    <row r="439" spans="1:17" x14ac:dyDescent="0.2">
      <c r="A439" s="14"/>
      <c r="B439" s="6"/>
      <c r="C439" s="6"/>
      <c r="D439" s="6" t="str">
        <f>IFERROR(VLOOKUP(C439,Products!$A$2:$G$204,2,FALSE),"")</f>
        <v/>
      </c>
      <c r="E439" s="15"/>
      <c r="F439" s="7">
        <f>IFERROR(VLOOKUP(C439,Products!$A$2:$G$204,6,FALSE),0)</f>
        <v>0</v>
      </c>
      <c r="G439" s="7"/>
      <c r="H439" s="7"/>
      <c r="I439" s="7">
        <f>IF(OR(E439="",F439=""),0,MAX(0,(E439*F439-G439+H439)*IFERROR(VLOOKUP(C439,Products!$A$2:$G$204,7,FALSE),0)))</f>
        <v>0</v>
      </c>
      <c r="J439" s="7"/>
      <c r="K439" s="7">
        <f>IF(OR(E439="",F439=""),0,E439*F439)</f>
        <v>0</v>
      </c>
      <c r="L439" s="7">
        <f>IF(E439="",0,K439-G439+H439-I439-J439)</f>
        <v>0</v>
      </c>
      <c r="M439" s="7">
        <f>IFERROR(E439*VLOOKUP(C439,Products!$A$2:$G$204,4,FALSE),0)</f>
        <v>0</v>
      </c>
      <c r="N439" s="7">
        <f>IFERROR(E439*VLOOKUP(C439,Products!$A$2:$G$204,5,FALSE),0)</f>
        <v>0</v>
      </c>
      <c r="O439" s="7">
        <f>IF(E439="",0,L439-M439-N439)</f>
        <v>0</v>
      </c>
      <c r="P439" s="6"/>
      <c r="Q439" s="6"/>
    </row>
    <row r="440" spans="1:17" x14ac:dyDescent="0.2">
      <c r="A440" s="12"/>
      <c r="B440" s="9"/>
      <c r="C440" s="9"/>
      <c r="D440" s="9" t="str">
        <f>IFERROR(VLOOKUP(C440,Products!$A$2:$G$204,2,FALSE),"")</f>
        <v/>
      </c>
      <c r="E440" s="13"/>
      <c r="F440" s="10">
        <f>IFERROR(VLOOKUP(C440,Products!$A$2:$G$204,6,FALSE),0)</f>
        <v>0</v>
      </c>
      <c r="G440" s="10"/>
      <c r="H440" s="10"/>
      <c r="I440" s="10">
        <f>IF(OR(E440="",F440=""),0,MAX(0,(E440*F440-G440+H440)*IFERROR(VLOOKUP(C440,Products!$A$2:$G$204,7,FALSE),0)))</f>
        <v>0</v>
      </c>
      <c r="J440" s="10"/>
      <c r="K440" s="10">
        <f>IF(OR(E440="",F440=""),0,E440*F440)</f>
        <v>0</v>
      </c>
      <c r="L440" s="10">
        <f>IF(E440="",0,K440-G440+H440-I440-J440)</f>
        <v>0</v>
      </c>
      <c r="M440" s="10">
        <f>IFERROR(E440*VLOOKUP(C440,Products!$A$2:$G$204,4,FALSE),0)</f>
        <v>0</v>
      </c>
      <c r="N440" s="10">
        <f>IFERROR(E440*VLOOKUP(C440,Products!$A$2:$G$204,5,FALSE),0)</f>
        <v>0</v>
      </c>
      <c r="O440" s="10">
        <f>IF(E440="",0,L440-M440-N440)</f>
        <v>0</v>
      </c>
      <c r="P440" s="9"/>
      <c r="Q440" s="9"/>
    </row>
    <row r="441" spans="1:17" x14ac:dyDescent="0.2">
      <c r="A441" s="14"/>
      <c r="B441" s="6"/>
      <c r="C441" s="6"/>
      <c r="D441" s="6" t="str">
        <f>IFERROR(VLOOKUP(C441,Products!$A$2:$G$204,2,FALSE),"")</f>
        <v/>
      </c>
      <c r="E441" s="15"/>
      <c r="F441" s="7">
        <f>IFERROR(VLOOKUP(C441,Products!$A$2:$G$204,6,FALSE),0)</f>
        <v>0</v>
      </c>
      <c r="G441" s="7"/>
      <c r="H441" s="7"/>
      <c r="I441" s="7">
        <f>IF(OR(E441="",F441=""),0,MAX(0,(E441*F441-G441+H441)*IFERROR(VLOOKUP(C441,Products!$A$2:$G$204,7,FALSE),0)))</f>
        <v>0</v>
      </c>
      <c r="J441" s="7"/>
      <c r="K441" s="7">
        <f>IF(OR(E441="",F441=""),0,E441*F441)</f>
        <v>0</v>
      </c>
      <c r="L441" s="7">
        <f>IF(E441="",0,K441-G441+H441-I441-J441)</f>
        <v>0</v>
      </c>
      <c r="M441" s="7">
        <f>IFERROR(E441*VLOOKUP(C441,Products!$A$2:$G$204,4,FALSE),0)</f>
        <v>0</v>
      </c>
      <c r="N441" s="7">
        <f>IFERROR(E441*VLOOKUP(C441,Products!$A$2:$G$204,5,FALSE),0)</f>
        <v>0</v>
      </c>
      <c r="O441" s="7">
        <f>IF(E441="",0,L441-M441-N441)</f>
        <v>0</v>
      </c>
      <c r="P441" s="6"/>
      <c r="Q441" s="6"/>
    </row>
    <row r="442" spans="1:17" x14ac:dyDescent="0.2">
      <c r="A442" s="12"/>
      <c r="B442" s="9"/>
      <c r="C442" s="9"/>
      <c r="D442" s="9" t="str">
        <f>IFERROR(VLOOKUP(C442,Products!$A$2:$G$204,2,FALSE),"")</f>
        <v/>
      </c>
      <c r="E442" s="13"/>
      <c r="F442" s="10">
        <f>IFERROR(VLOOKUP(C442,Products!$A$2:$G$204,6,FALSE),0)</f>
        <v>0</v>
      </c>
      <c r="G442" s="10"/>
      <c r="H442" s="10"/>
      <c r="I442" s="10">
        <f>IF(OR(E442="",F442=""),0,MAX(0,(E442*F442-G442+H442)*IFERROR(VLOOKUP(C442,Products!$A$2:$G$204,7,FALSE),0)))</f>
        <v>0</v>
      </c>
      <c r="J442" s="10"/>
      <c r="K442" s="10">
        <f>IF(OR(E442="",F442=""),0,E442*F442)</f>
        <v>0</v>
      </c>
      <c r="L442" s="10">
        <f>IF(E442="",0,K442-G442+H442-I442-J442)</f>
        <v>0</v>
      </c>
      <c r="M442" s="10">
        <f>IFERROR(E442*VLOOKUP(C442,Products!$A$2:$G$204,4,FALSE),0)</f>
        <v>0</v>
      </c>
      <c r="N442" s="10">
        <f>IFERROR(E442*VLOOKUP(C442,Products!$A$2:$G$204,5,FALSE),0)</f>
        <v>0</v>
      </c>
      <c r="O442" s="10">
        <f>IF(E442="",0,L442-M442-N442)</f>
        <v>0</v>
      </c>
      <c r="P442" s="9"/>
      <c r="Q442" s="9"/>
    </row>
    <row r="443" spans="1:17" x14ac:dyDescent="0.2">
      <c r="A443" s="14"/>
      <c r="B443" s="6"/>
      <c r="C443" s="6"/>
      <c r="D443" s="6" t="str">
        <f>IFERROR(VLOOKUP(C443,Products!$A$2:$G$204,2,FALSE),"")</f>
        <v/>
      </c>
      <c r="E443" s="15"/>
      <c r="F443" s="7">
        <f>IFERROR(VLOOKUP(C443,Products!$A$2:$G$204,6,FALSE),0)</f>
        <v>0</v>
      </c>
      <c r="G443" s="7"/>
      <c r="H443" s="7"/>
      <c r="I443" s="7">
        <f>IF(OR(E443="",F443=""),0,MAX(0,(E443*F443-G443+H443)*IFERROR(VLOOKUP(C443,Products!$A$2:$G$204,7,FALSE),0)))</f>
        <v>0</v>
      </c>
      <c r="J443" s="7"/>
      <c r="K443" s="7">
        <f>IF(OR(E443="",F443=""),0,E443*F443)</f>
        <v>0</v>
      </c>
      <c r="L443" s="7">
        <f>IF(E443="",0,K443-G443+H443-I443-J443)</f>
        <v>0</v>
      </c>
      <c r="M443" s="7">
        <f>IFERROR(E443*VLOOKUP(C443,Products!$A$2:$G$204,4,FALSE),0)</f>
        <v>0</v>
      </c>
      <c r="N443" s="7">
        <f>IFERROR(E443*VLOOKUP(C443,Products!$A$2:$G$204,5,FALSE),0)</f>
        <v>0</v>
      </c>
      <c r="O443" s="7">
        <f>IF(E443="",0,L443-M443-N443)</f>
        <v>0</v>
      </c>
      <c r="P443" s="6"/>
      <c r="Q443" s="6"/>
    </row>
    <row r="444" spans="1:17" x14ac:dyDescent="0.2">
      <c r="A444" s="12"/>
      <c r="B444" s="9"/>
      <c r="C444" s="9"/>
      <c r="D444" s="9" t="str">
        <f>IFERROR(VLOOKUP(C444,Products!$A$2:$G$204,2,FALSE),"")</f>
        <v/>
      </c>
      <c r="E444" s="13"/>
      <c r="F444" s="10">
        <f>IFERROR(VLOOKUP(C444,Products!$A$2:$G$204,6,FALSE),0)</f>
        <v>0</v>
      </c>
      <c r="G444" s="10"/>
      <c r="H444" s="10"/>
      <c r="I444" s="10">
        <f>IF(OR(E444="",F444=""),0,MAX(0,(E444*F444-G444+H444)*IFERROR(VLOOKUP(C444,Products!$A$2:$G$204,7,FALSE),0)))</f>
        <v>0</v>
      </c>
      <c r="J444" s="10"/>
      <c r="K444" s="10">
        <f>IF(OR(E444="",F444=""),0,E444*F444)</f>
        <v>0</v>
      </c>
      <c r="L444" s="10">
        <f>IF(E444="",0,K444-G444+H444-I444-J444)</f>
        <v>0</v>
      </c>
      <c r="M444" s="10">
        <f>IFERROR(E444*VLOOKUP(C444,Products!$A$2:$G$204,4,FALSE),0)</f>
        <v>0</v>
      </c>
      <c r="N444" s="10">
        <f>IFERROR(E444*VLOOKUP(C444,Products!$A$2:$G$204,5,FALSE),0)</f>
        <v>0</v>
      </c>
      <c r="O444" s="10">
        <f>IF(E444="",0,L444-M444-N444)</f>
        <v>0</v>
      </c>
      <c r="P444" s="9"/>
      <c r="Q444" s="9"/>
    </row>
    <row r="445" spans="1:17" x14ac:dyDescent="0.2">
      <c r="A445" s="14"/>
      <c r="B445" s="6"/>
      <c r="C445" s="6"/>
      <c r="D445" s="6" t="str">
        <f>IFERROR(VLOOKUP(C445,Products!$A$2:$G$204,2,FALSE),"")</f>
        <v/>
      </c>
      <c r="E445" s="15"/>
      <c r="F445" s="7">
        <f>IFERROR(VLOOKUP(C445,Products!$A$2:$G$204,6,FALSE),0)</f>
        <v>0</v>
      </c>
      <c r="G445" s="7"/>
      <c r="H445" s="7"/>
      <c r="I445" s="7">
        <f>IF(OR(E445="",F445=""),0,MAX(0,(E445*F445-G445+H445)*IFERROR(VLOOKUP(C445,Products!$A$2:$G$204,7,FALSE),0)))</f>
        <v>0</v>
      </c>
      <c r="J445" s="7"/>
      <c r="K445" s="7">
        <f>IF(OR(E445="",F445=""),0,E445*F445)</f>
        <v>0</v>
      </c>
      <c r="L445" s="7">
        <f>IF(E445="",0,K445-G445+H445-I445-J445)</f>
        <v>0</v>
      </c>
      <c r="M445" s="7">
        <f>IFERROR(E445*VLOOKUP(C445,Products!$A$2:$G$204,4,FALSE),0)</f>
        <v>0</v>
      </c>
      <c r="N445" s="7">
        <f>IFERROR(E445*VLOOKUP(C445,Products!$A$2:$G$204,5,FALSE),0)</f>
        <v>0</v>
      </c>
      <c r="O445" s="7">
        <f>IF(E445="",0,L445-M445-N445)</f>
        <v>0</v>
      </c>
      <c r="P445" s="6"/>
      <c r="Q445" s="6"/>
    </row>
    <row r="446" spans="1:17" x14ac:dyDescent="0.2">
      <c r="A446" s="12"/>
      <c r="B446" s="9"/>
      <c r="C446" s="9"/>
      <c r="D446" s="9" t="str">
        <f>IFERROR(VLOOKUP(C446,Products!$A$2:$G$204,2,FALSE),"")</f>
        <v/>
      </c>
      <c r="E446" s="13"/>
      <c r="F446" s="10">
        <f>IFERROR(VLOOKUP(C446,Products!$A$2:$G$204,6,FALSE),0)</f>
        <v>0</v>
      </c>
      <c r="G446" s="10"/>
      <c r="H446" s="10"/>
      <c r="I446" s="10">
        <f>IF(OR(E446="",F446=""),0,MAX(0,(E446*F446-G446+H446)*IFERROR(VLOOKUP(C446,Products!$A$2:$G$204,7,FALSE),0)))</f>
        <v>0</v>
      </c>
      <c r="J446" s="10"/>
      <c r="K446" s="10">
        <f>IF(OR(E446="",F446=""),0,E446*F446)</f>
        <v>0</v>
      </c>
      <c r="L446" s="10">
        <f>IF(E446="",0,K446-G446+H446-I446-J446)</f>
        <v>0</v>
      </c>
      <c r="M446" s="10">
        <f>IFERROR(E446*VLOOKUP(C446,Products!$A$2:$G$204,4,FALSE),0)</f>
        <v>0</v>
      </c>
      <c r="N446" s="10">
        <f>IFERROR(E446*VLOOKUP(C446,Products!$A$2:$G$204,5,FALSE),0)</f>
        <v>0</v>
      </c>
      <c r="O446" s="10">
        <f>IF(E446="",0,L446-M446-N446)</f>
        <v>0</v>
      </c>
      <c r="P446" s="9"/>
      <c r="Q446" s="9"/>
    </row>
    <row r="447" spans="1:17" x14ac:dyDescent="0.2">
      <c r="A447" s="14"/>
      <c r="B447" s="6"/>
      <c r="C447" s="6"/>
      <c r="D447" s="6" t="str">
        <f>IFERROR(VLOOKUP(C447,Products!$A$2:$G$204,2,FALSE),"")</f>
        <v/>
      </c>
      <c r="E447" s="15"/>
      <c r="F447" s="7">
        <f>IFERROR(VLOOKUP(C447,Products!$A$2:$G$204,6,FALSE),0)</f>
        <v>0</v>
      </c>
      <c r="G447" s="7"/>
      <c r="H447" s="7"/>
      <c r="I447" s="7">
        <f>IF(OR(E447="",F447=""),0,MAX(0,(E447*F447-G447+H447)*IFERROR(VLOOKUP(C447,Products!$A$2:$G$204,7,FALSE),0)))</f>
        <v>0</v>
      </c>
      <c r="J447" s="7"/>
      <c r="K447" s="7">
        <f>IF(OR(E447="",F447=""),0,E447*F447)</f>
        <v>0</v>
      </c>
      <c r="L447" s="7">
        <f>IF(E447="",0,K447-G447+H447-I447-J447)</f>
        <v>0</v>
      </c>
      <c r="M447" s="7">
        <f>IFERROR(E447*VLOOKUP(C447,Products!$A$2:$G$204,4,FALSE),0)</f>
        <v>0</v>
      </c>
      <c r="N447" s="7">
        <f>IFERROR(E447*VLOOKUP(C447,Products!$A$2:$G$204,5,FALSE),0)</f>
        <v>0</v>
      </c>
      <c r="O447" s="7">
        <f>IF(E447="",0,L447-M447-N447)</f>
        <v>0</v>
      </c>
      <c r="P447" s="6"/>
      <c r="Q447" s="6"/>
    </row>
    <row r="448" spans="1:17" x14ac:dyDescent="0.2">
      <c r="A448" s="12"/>
      <c r="B448" s="9"/>
      <c r="C448" s="9"/>
      <c r="D448" s="9" t="str">
        <f>IFERROR(VLOOKUP(C448,Products!$A$2:$G$204,2,FALSE),"")</f>
        <v/>
      </c>
      <c r="E448" s="13"/>
      <c r="F448" s="10">
        <f>IFERROR(VLOOKUP(C448,Products!$A$2:$G$204,6,FALSE),0)</f>
        <v>0</v>
      </c>
      <c r="G448" s="10"/>
      <c r="H448" s="10"/>
      <c r="I448" s="10">
        <f>IF(OR(E448="",F448=""),0,MAX(0,(E448*F448-G448+H448)*IFERROR(VLOOKUP(C448,Products!$A$2:$G$204,7,FALSE),0)))</f>
        <v>0</v>
      </c>
      <c r="J448" s="10"/>
      <c r="K448" s="10">
        <f>IF(OR(E448="",F448=""),0,E448*F448)</f>
        <v>0</v>
      </c>
      <c r="L448" s="10">
        <f>IF(E448="",0,K448-G448+H448-I448-J448)</f>
        <v>0</v>
      </c>
      <c r="M448" s="10">
        <f>IFERROR(E448*VLOOKUP(C448,Products!$A$2:$G$204,4,FALSE),0)</f>
        <v>0</v>
      </c>
      <c r="N448" s="10">
        <f>IFERROR(E448*VLOOKUP(C448,Products!$A$2:$G$204,5,FALSE),0)</f>
        <v>0</v>
      </c>
      <c r="O448" s="10">
        <f>IF(E448="",0,L448-M448-N448)</f>
        <v>0</v>
      </c>
      <c r="P448" s="9"/>
      <c r="Q448" s="9"/>
    </row>
    <row r="449" spans="1:17" x14ac:dyDescent="0.2">
      <c r="A449" s="14"/>
      <c r="B449" s="6"/>
      <c r="C449" s="6"/>
      <c r="D449" s="6" t="str">
        <f>IFERROR(VLOOKUP(C449,Products!$A$2:$G$204,2,FALSE),"")</f>
        <v/>
      </c>
      <c r="E449" s="15"/>
      <c r="F449" s="7">
        <f>IFERROR(VLOOKUP(C449,Products!$A$2:$G$204,6,FALSE),0)</f>
        <v>0</v>
      </c>
      <c r="G449" s="7"/>
      <c r="H449" s="7"/>
      <c r="I449" s="7">
        <f>IF(OR(E449="",F449=""),0,MAX(0,(E449*F449-G449+H449)*IFERROR(VLOOKUP(C449,Products!$A$2:$G$204,7,FALSE),0)))</f>
        <v>0</v>
      </c>
      <c r="J449" s="7"/>
      <c r="K449" s="7">
        <f>IF(OR(E449="",F449=""),0,E449*F449)</f>
        <v>0</v>
      </c>
      <c r="L449" s="7">
        <f>IF(E449="",0,K449-G449+H449-I449-J449)</f>
        <v>0</v>
      </c>
      <c r="M449" s="7">
        <f>IFERROR(E449*VLOOKUP(C449,Products!$A$2:$G$204,4,FALSE),0)</f>
        <v>0</v>
      </c>
      <c r="N449" s="7">
        <f>IFERROR(E449*VLOOKUP(C449,Products!$A$2:$G$204,5,FALSE),0)</f>
        <v>0</v>
      </c>
      <c r="O449" s="7">
        <f>IF(E449="",0,L449-M449-N449)</f>
        <v>0</v>
      </c>
      <c r="P449" s="6"/>
      <c r="Q449" s="6"/>
    </row>
    <row r="450" spans="1:17" x14ac:dyDescent="0.2">
      <c r="A450" s="12"/>
      <c r="B450" s="9"/>
      <c r="C450" s="9"/>
      <c r="D450" s="9" t="str">
        <f>IFERROR(VLOOKUP(C450,Products!$A$2:$G$204,2,FALSE),"")</f>
        <v/>
      </c>
      <c r="E450" s="13"/>
      <c r="F450" s="10">
        <f>IFERROR(VLOOKUP(C450,Products!$A$2:$G$204,6,FALSE),0)</f>
        <v>0</v>
      </c>
      <c r="G450" s="10"/>
      <c r="H450" s="10"/>
      <c r="I450" s="10">
        <f>IF(OR(E450="",F450=""),0,MAX(0,(E450*F450-G450+H450)*IFERROR(VLOOKUP(C450,Products!$A$2:$G$204,7,FALSE),0)))</f>
        <v>0</v>
      </c>
      <c r="J450" s="10"/>
      <c r="K450" s="10">
        <f>IF(OR(E450="",F450=""),0,E450*F450)</f>
        <v>0</v>
      </c>
      <c r="L450" s="10">
        <f>IF(E450="",0,K450-G450+H450-I450-J450)</f>
        <v>0</v>
      </c>
      <c r="M450" s="10">
        <f>IFERROR(E450*VLOOKUP(C450,Products!$A$2:$G$204,4,FALSE),0)</f>
        <v>0</v>
      </c>
      <c r="N450" s="10">
        <f>IFERROR(E450*VLOOKUP(C450,Products!$A$2:$G$204,5,FALSE),0)</f>
        <v>0</v>
      </c>
      <c r="O450" s="10">
        <f>IF(E450="",0,L450-M450-N450)</f>
        <v>0</v>
      </c>
      <c r="P450" s="9"/>
      <c r="Q450" s="9"/>
    </row>
    <row r="451" spans="1:17" x14ac:dyDescent="0.2">
      <c r="A451" s="14"/>
      <c r="B451" s="6"/>
      <c r="C451" s="6"/>
      <c r="D451" s="6" t="str">
        <f>IFERROR(VLOOKUP(C451,Products!$A$2:$G$204,2,FALSE),"")</f>
        <v/>
      </c>
      <c r="E451" s="15"/>
      <c r="F451" s="7">
        <f>IFERROR(VLOOKUP(C451,Products!$A$2:$G$204,6,FALSE),0)</f>
        <v>0</v>
      </c>
      <c r="G451" s="7"/>
      <c r="H451" s="7"/>
      <c r="I451" s="7">
        <f>IF(OR(E451="",F451=""),0,MAX(0,(E451*F451-G451+H451)*IFERROR(VLOOKUP(C451,Products!$A$2:$G$204,7,FALSE),0)))</f>
        <v>0</v>
      </c>
      <c r="J451" s="7"/>
      <c r="K451" s="7">
        <f>IF(OR(E451="",F451=""),0,E451*F451)</f>
        <v>0</v>
      </c>
      <c r="L451" s="7">
        <f>IF(E451="",0,K451-G451+H451-I451-J451)</f>
        <v>0</v>
      </c>
      <c r="M451" s="7">
        <f>IFERROR(E451*VLOOKUP(C451,Products!$A$2:$G$204,4,FALSE),0)</f>
        <v>0</v>
      </c>
      <c r="N451" s="7">
        <f>IFERROR(E451*VLOOKUP(C451,Products!$A$2:$G$204,5,FALSE),0)</f>
        <v>0</v>
      </c>
      <c r="O451" s="7">
        <f>IF(E451="",0,L451-M451-N451)</f>
        <v>0</v>
      </c>
      <c r="P451" s="6"/>
      <c r="Q451" s="6"/>
    </row>
    <row r="452" spans="1:17" x14ac:dyDescent="0.2">
      <c r="A452" s="12"/>
      <c r="B452" s="9"/>
      <c r="C452" s="9"/>
      <c r="D452" s="9" t="str">
        <f>IFERROR(VLOOKUP(C452,Products!$A$2:$G$204,2,FALSE),"")</f>
        <v/>
      </c>
      <c r="E452" s="13"/>
      <c r="F452" s="10">
        <f>IFERROR(VLOOKUP(C452,Products!$A$2:$G$204,6,FALSE),0)</f>
        <v>0</v>
      </c>
      <c r="G452" s="10"/>
      <c r="H452" s="10"/>
      <c r="I452" s="10">
        <f>IF(OR(E452="",F452=""),0,MAX(0,(E452*F452-G452+H452)*IFERROR(VLOOKUP(C452,Products!$A$2:$G$204,7,FALSE),0)))</f>
        <v>0</v>
      </c>
      <c r="J452" s="10"/>
      <c r="K452" s="10">
        <f>IF(OR(E452="",F452=""),0,E452*F452)</f>
        <v>0</v>
      </c>
      <c r="L452" s="10">
        <f>IF(E452="",0,K452-G452+H452-I452-J452)</f>
        <v>0</v>
      </c>
      <c r="M452" s="10">
        <f>IFERROR(E452*VLOOKUP(C452,Products!$A$2:$G$204,4,FALSE),0)</f>
        <v>0</v>
      </c>
      <c r="N452" s="10">
        <f>IFERROR(E452*VLOOKUP(C452,Products!$A$2:$G$204,5,FALSE),0)</f>
        <v>0</v>
      </c>
      <c r="O452" s="10">
        <f>IF(E452="",0,L452-M452-N452)</f>
        <v>0</v>
      </c>
      <c r="P452" s="9"/>
      <c r="Q452" s="9"/>
    </row>
    <row r="453" spans="1:17" x14ac:dyDescent="0.2">
      <c r="A453" s="14"/>
      <c r="B453" s="6"/>
      <c r="C453" s="6"/>
      <c r="D453" s="6" t="str">
        <f>IFERROR(VLOOKUP(C453,Products!$A$2:$G$204,2,FALSE),"")</f>
        <v/>
      </c>
      <c r="E453" s="15"/>
      <c r="F453" s="7">
        <f>IFERROR(VLOOKUP(C453,Products!$A$2:$G$204,6,FALSE),0)</f>
        <v>0</v>
      </c>
      <c r="G453" s="7"/>
      <c r="H453" s="7"/>
      <c r="I453" s="7">
        <f>IF(OR(E453="",F453=""),0,MAX(0,(E453*F453-G453+H453)*IFERROR(VLOOKUP(C453,Products!$A$2:$G$204,7,FALSE),0)))</f>
        <v>0</v>
      </c>
      <c r="J453" s="7"/>
      <c r="K453" s="7">
        <f>IF(OR(E453="",F453=""),0,E453*F453)</f>
        <v>0</v>
      </c>
      <c r="L453" s="7">
        <f>IF(E453="",0,K453-G453+H453-I453-J453)</f>
        <v>0</v>
      </c>
      <c r="M453" s="7">
        <f>IFERROR(E453*VLOOKUP(C453,Products!$A$2:$G$204,4,FALSE),0)</f>
        <v>0</v>
      </c>
      <c r="N453" s="7">
        <f>IFERROR(E453*VLOOKUP(C453,Products!$A$2:$G$204,5,FALSE),0)</f>
        <v>0</v>
      </c>
      <c r="O453" s="7">
        <f>IF(E453="",0,L453-M453-N453)</f>
        <v>0</v>
      </c>
      <c r="P453" s="6"/>
      <c r="Q453" s="6"/>
    </row>
    <row r="454" spans="1:17" x14ac:dyDescent="0.2">
      <c r="A454" s="12"/>
      <c r="B454" s="9"/>
      <c r="C454" s="9"/>
      <c r="D454" s="9" t="str">
        <f>IFERROR(VLOOKUP(C454,Products!$A$2:$G$204,2,FALSE),"")</f>
        <v/>
      </c>
      <c r="E454" s="13"/>
      <c r="F454" s="10">
        <f>IFERROR(VLOOKUP(C454,Products!$A$2:$G$204,6,FALSE),0)</f>
        <v>0</v>
      </c>
      <c r="G454" s="10"/>
      <c r="H454" s="10"/>
      <c r="I454" s="10">
        <f>IF(OR(E454="",F454=""),0,MAX(0,(E454*F454-G454+H454)*IFERROR(VLOOKUP(C454,Products!$A$2:$G$204,7,FALSE),0)))</f>
        <v>0</v>
      </c>
      <c r="J454" s="10"/>
      <c r="K454" s="10">
        <f>IF(OR(E454="",F454=""),0,E454*F454)</f>
        <v>0</v>
      </c>
      <c r="L454" s="10">
        <f>IF(E454="",0,K454-G454+H454-I454-J454)</f>
        <v>0</v>
      </c>
      <c r="M454" s="10">
        <f>IFERROR(E454*VLOOKUP(C454,Products!$A$2:$G$204,4,FALSE),0)</f>
        <v>0</v>
      </c>
      <c r="N454" s="10">
        <f>IFERROR(E454*VLOOKUP(C454,Products!$A$2:$G$204,5,FALSE),0)</f>
        <v>0</v>
      </c>
      <c r="O454" s="10">
        <f>IF(E454="",0,L454-M454-N454)</f>
        <v>0</v>
      </c>
      <c r="P454" s="9"/>
      <c r="Q454" s="9"/>
    </row>
    <row r="455" spans="1:17" x14ac:dyDescent="0.2">
      <c r="A455" s="14"/>
      <c r="B455" s="6"/>
      <c r="C455" s="6"/>
      <c r="D455" s="6" t="str">
        <f>IFERROR(VLOOKUP(C455,Products!$A$2:$G$204,2,FALSE),"")</f>
        <v/>
      </c>
      <c r="E455" s="15"/>
      <c r="F455" s="7">
        <f>IFERROR(VLOOKUP(C455,Products!$A$2:$G$204,6,FALSE),0)</f>
        <v>0</v>
      </c>
      <c r="G455" s="7"/>
      <c r="H455" s="7"/>
      <c r="I455" s="7">
        <f>IF(OR(E455="",F455=""),0,MAX(0,(E455*F455-G455+H455)*IFERROR(VLOOKUP(C455,Products!$A$2:$G$204,7,FALSE),0)))</f>
        <v>0</v>
      </c>
      <c r="J455" s="7"/>
      <c r="K455" s="7">
        <f>IF(OR(E455="",F455=""),0,E455*F455)</f>
        <v>0</v>
      </c>
      <c r="L455" s="7">
        <f>IF(E455="",0,K455-G455+H455-I455-J455)</f>
        <v>0</v>
      </c>
      <c r="M455" s="7">
        <f>IFERROR(E455*VLOOKUP(C455,Products!$A$2:$G$204,4,FALSE),0)</f>
        <v>0</v>
      </c>
      <c r="N455" s="7">
        <f>IFERROR(E455*VLOOKUP(C455,Products!$A$2:$G$204,5,FALSE),0)</f>
        <v>0</v>
      </c>
      <c r="O455" s="7">
        <f>IF(E455="",0,L455-M455-N455)</f>
        <v>0</v>
      </c>
      <c r="P455" s="6"/>
      <c r="Q455" s="6"/>
    </row>
    <row r="456" spans="1:17" x14ac:dyDescent="0.2">
      <c r="A456" s="12"/>
      <c r="B456" s="9"/>
      <c r="C456" s="9"/>
      <c r="D456" s="9" t="str">
        <f>IFERROR(VLOOKUP(C456,Products!$A$2:$G$204,2,FALSE),"")</f>
        <v/>
      </c>
      <c r="E456" s="13"/>
      <c r="F456" s="10">
        <f>IFERROR(VLOOKUP(C456,Products!$A$2:$G$204,6,FALSE),0)</f>
        <v>0</v>
      </c>
      <c r="G456" s="10"/>
      <c r="H456" s="10"/>
      <c r="I456" s="10">
        <f>IF(OR(E456="",F456=""),0,MAX(0,(E456*F456-G456+H456)*IFERROR(VLOOKUP(C456,Products!$A$2:$G$204,7,FALSE),0)))</f>
        <v>0</v>
      </c>
      <c r="J456" s="10"/>
      <c r="K456" s="10">
        <f>IF(OR(E456="",F456=""),0,E456*F456)</f>
        <v>0</v>
      </c>
      <c r="L456" s="10">
        <f>IF(E456="",0,K456-G456+H456-I456-J456)</f>
        <v>0</v>
      </c>
      <c r="M456" s="10">
        <f>IFERROR(E456*VLOOKUP(C456,Products!$A$2:$G$204,4,FALSE),0)</f>
        <v>0</v>
      </c>
      <c r="N456" s="10">
        <f>IFERROR(E456*VLOOKUP(C456,Products!$A$2:$G$204,5,FALSE),0)</f>
        <v>0</v>
      </c>
      <c r="O456" s="10">
        <f>IF(E456="",0,L456-M456-N456)</f>
        <v>0</v>
      </c>
      <c r="P456" s="9"/>
      <c r="Q456" s="9"/>
    </row>
    <row r="457" spans="1:17" x14ac:dyDescent="0.2">
      <c r="A457" s="14"/>
      <c r="B457" s="6"/>
      <c r="C457" s="6"/>
      <c r="D457" s="6" t="str">
        <f>IFERROR(VLOOKUP(C457,Products!$A$2:$G$204,2,FALSE),"")</f>
        <v/>
      </c>
      <c r="E457" s="15"/>
      <c r="F457" s="7">
        <f>IFERROR(VLOOKUP(C457,Products!$A$2:$G$204,6,FALSE),0)</f>
        <v>0</v>
      </c>
      <c r="G457" s="7"/>
      <c r="H457" s="7"/>
      <c r="I457" s="7">
        <f>IF(OR(E457="",F457=""),0,MAX(0,(E457*F457-G457+H457)*IFERROR(VLOOKUP(C457,Products!$A$2:$G$204,7,FALSE),0)))</f>
        <v>0</v>
      </c>
      <c r="J457" s="7"/>
      <c r="K457" s="7">
        <f>IF(OR(E457="",F457=""),0,E457*F457)</f>
        <v>0</v>
      </c>
      <c r="L457" s="7">
        <f>IF(E457="",0,K457-G457+H457-I457-J457)</f>
        <v>0</v>
      </c>
      <c r="M457" s="7">
        <f>IFERROR(E457*VLOOKUP(C457,Products!$A$2:$G$204,4,FALSE),0)</f>
        <v>0</v>
      </c>
      <c r="N457" s="7">
        <f>IFERROR(E457*VLOOKUP(C457,Products!$A$2:$G$204,5,FALSE),0)</f>
        <v>0</v>
      </c>
      <c r="O457" s="7">
        <f>IF(E457="",0,L457-M457-N457)</f>
        <v>0</v>
      </c>
      <c r="P457" s="6"/>
      <c r="Q457" s="6"/>
    </row>
    <row r="458" spans="1:17" x14ac:dyDescent="0.2">
      <c r="A458" s="12"/>
      <c r="B458" s="9"/>
      <c r="C458" s="9"/>
      <c r="D458" s="9" t="str">
        <f>IFERROR(VLOOKUP(C458,Products!$A$2:$G$204,2,FALSE),"")</f>
        <v/>
      </c>
      <c r="E458" s="13"/>
      <c r="F458" s="10">
        <f>IFERROR(VLOOKUP(C458,Products!$A$2:$G$204,6,FALSE),0)</f>
        <v>0</v>
      </c>
      <c r="G458" s="10"/>
      <c r="H458" s="10"/>
      <c r="I458" s="10">
        <f>IF(OR(E458="",F458=""),0,MAX(0,(E458*F458-G458+H458)*IFERROR(VLOOKUP(C458,Products!$A$2:$G$204,7,FALSE),0)))</f>
        <v>0</v>
      </c>
      <c r="J458" s="10"/>
      <c r="K458" s="10">
        <f>IF(OR(E458="",F458=""),0,E458*F458)</f>
        <v>0</v>
      </c>
      <c r="L458" s="10">
        <f>IF(E458="",0,K458-G458+H458-I458-J458)</f>
        <v>0</v>
      </c>
      <c r="M458" s="10">
        <f>IFERROR(E458*VLOOKUP(C458,Products!$A$2:$G$204,4,FALSE),0)</f>
        <v>0</v>
      </c>
      <c r="N458" s="10">
        <f>IFERROR(E458*VLOOKUP(C458,Products!$A$2:$G$204,5,FALSE),0)</f>
        <v>0</v>
      </c>
      <c r="O458" s="10">
        <f>IF(E458="",0,L458-M458-N458)</f>
        <v>0</v>
      </c>
      <c r="P458" s="9"/>
      <c r="Q458" s="9"/>
    </row>
    <row r="459" spans="1:17" x14ac:dyDescent="0.2">
      <c r="A459" s="14"/>
      <c r="B459" s="6"/>
      <c r="C459" s="6"/>
      <c r="D459" s="6" t="str">
        <f>IFERROR(VLOOKUP(C459,Products!$A$2:$G$204,2,FALSE),"")</f>
        <v/>
      </c>
      <c r="E459" s="15"/>
      <c r="F459" s="7">
        <f>IFERROR(VLOOKUP(C459,Products!$A$2:$G$204,6,FALSE),0)</f>
        <v>0</v>
      </c>
      <c r="G459" s="7"/>
      <c r="H459" s="7"/>
      <c r="I459" s="7">
        <f>IF(OR(E459="",F459=""),0,MAX(0,(E459*F459-G459+H459)*IFERROR(VLOOKUP(C459,Products!$A$2:$G$204,7,FALSE),0)))</f>
        <v>0</v>
      </c>
      <c r="J459" s="7"/>
      <c r="K459" s="7">
        <f>IF(OR(E459="",F459=""),0,E459*F459)</f>
        <v>0</v>
      </c>
      <c r="L459" s="7">
        <f>IF(E459="",0,K459-G459+H459-I459-J459)</f>
        <v>0</v>
      </c>
      <c r="M459" s="7">
        <f>IFERROR(E459*VLOOKUP(C459,Products!$A$2:$G$204,4,FALSE),0)</f>
        <v>0</v>
      </c>
      <c r="N459" s="7">
        <f>IFERROR(E459*VLOOKUP(C459,Products!$A$2:$G$204,5,FALSE),0)</f>
        <v>0</v>
      </c>
      <c r="O459" s="7">
        <f>IF(E459="",0,L459-M459-N459)</f>
        <v>0</v>
      </c>
      <c r="P459" s="6"/>
      <c r="Q459" s="6"/>
    </row>
    <row r="460" spans="1:17" x14ac:dyDescent="0.2">
      <c r="A460" s="12"/>
      <c r="B460" s="9"/>
      <c r="C460" s="9"/>
      <c r="D460" s="9" t="str">
        <f>IFERROR(VLOOKUP(C460,Products!$A$2:$G$204,2,FALSE),"")</f>
        <v/>
      </c>
      <c r="E460" s="13"/>
      <c r="F460" s="10">
        <f>IFERROR(VLOOKUP(C460,Products!$A$2:$G$204,6,FALSE),0)</f>
        <v>0</v>
      </c>
      <c r="G460" s="10"/>
      <c r="H460" s="10"/>
      <c r="I460" s="10">
        <f>IF(OR(E460="",F460=""),0,MAX(0,(E460*F460-G460+H460)*IFERROR(VLOOKUP(C460,Products!$A$2:$G$204,7,FALSE),0)))</f>
        <v>0</v>
      </c>
      <c r="J460" s="10"/>
      <c r="K460" s="10">
        <f>IF(OR(E460="",F460=""),0,E460*F460)</f>
        <v>0</v>
      </c>
      <c r="L460" s="10">
        <f>IF(E460="",0,K460-G460+H460-I460-J460)</f>
        <v>0</v>
      </c>
      <c r="M460" s="10">
        <f>IFERROR(E460*VLOOKUP(C460,Products!$A$2:$G$204,4,FALSE),0)</f>
        <v>0</v>
      </c>
      <c r="N460" s="10">
        <f>IFERROR(E460*VLOOKUP(C460,Products!$A$2:$G$204,5,FALSE),0)</f>
        <v>0</v>
      </c>
      <c r="O460" s="10">
        <f>IF(E460="",0,L460-M460-N460)</f>
        <v>0</v>
      </c>
      <c r="P460" s="9"/>
      <c r="Q460" s="9"/>
    </row>
    <row r="461" spans="1:17" x14ac:dyDescent="0.2">
      <c r="A461" s="14"/>
      <c r="B461" s="6"/>
      <c r="C461" s="6"/>
      <c r="D461" s="6" t="str">
        <f>IFERROR(VLOOKUP(C461,Products!$A$2:$G$204,2,FALSE),"")</f>
        <v/>
      </c>
      <c r="E461" s="15"/>
      <c r="F461" s="7">
        <f>IFERROR(VLOOKUP(C461,Products!$A$2:$G$204,6,FALSE),0)</f>
        <v>0</v>
      </c>
      <c r="G461" s="7"/>
      <c r="H461" s="7"/>
      <c r="I461" s="7">
        <f>IF(OR(E461="",F461=""),0,MAX(0,(E461*F461-G461+H461)*IFERROR(VLOOKUP(C461,Products!$A$2:$G$204,7,FALSE),0)))</f>
        <v>0</v>
      </c>
      <c r="J461" s="7"/>
      <c r="K461" s="7">
        <f>IF(OR(E461="",F461=""),0,E461*F461)</f>
        <v>0</v>
      </c>
      <c r="L461" s="7">
        <f>IF(E461="",0,K461-G461+H461-I461-J461)</f>
        <v>0</v>
      </c>
      <c r="M461" s="7">
        <f>IFERROR(E461*VLOOKUP(C461,Products!$A$2:$G$204,4,FALSE),0)</f>
        <v>0</v>
      </c>
      <c r="N461" s="7">
        <f>IFERROR(E461*VLOOKUP(C461,Products!$A$2:$G$204,5,FALSE),0)</f>
        <v>0</v>
      </c>
      <c r="O461" s="7">
        <f>IF(E461="",0,L461-M461-N461)</f>
        <v>0</v>
      </c>
      <c r="P461" s="6"/>
      <c r="Q461" s="6"/>
    </row>
    <row r="462" spans="1:17" x14ac:dyDescent="0.2">
      <c r="A462" s="12"/>
      <c r="B462" s="9"/>
      <c r="C462" s="9"/>
      <c r="D462" s="9" t="str">
        <f>IFERROR(VLOOKUP(C462,Products!$A$2:$G$204,2,FALSE),"")</f>
        <v/>
      </c>
      <c r="E462" s="13"/>
      <c r="F462" s="10">
        <f>IFERROR(VLOOKUP(C462,Products!$A$2:$G$204,6,FALSE),0)</f>
        <v>0</v>
      </c>
      <c r="G462" s="10"/>
      <c r="H462" s="10"/>
      <c r="I462" s="10">
        <f>IF(OR(E462="",F462=""),0,MAX(0,(E462*F462-G462+H462)*IFERROR(VLOOKUP(C462,Products!$A$2:$G$204,7,FALSE),0)))</f>
        <v>0</v>
      </c>
      <c r="J462" s="10"/>
      <c r="K462" s="10">
        <f>IF(OR(E462="",F462=""),0,E462*F462)</f>
        <v>0</v>
      </c>
      <c r="L462" s="10">
        <f>IF(E462="",0,K462-G462+H462-I462-J462)</f>
        <v>0</v>
      </c>
      <c r="M462" s="10">
        <f>IFERROR(E462*VLOOKUP(C462,Products!$A$2:$G$204,4,FALSE),0)</f>
        <v>0</v>
      </c>
      <c r="N462" s="10">
        <f>IFERROR(E462*VLOOKUP(C462,Products!$A$2:$G$204,5,FALSE),0)</f>
        <v>0</v>
      </c>
      <c r="O462" s="10">
        <f>IF(E462="",0,L462-M462-N462)</f>
        <v>0</v>
      </c>
      <c r="P462" s="9"/>
      <c r="Q462" s="9"/>
    </row>
    <row r="463" spans="1:17" x14ac:dyDescent="0.2">
      <c r="A463" s="14"/>
      <c r="B463" s="6"/>
      <c r="C463" s="6"/>
      <c r="D463" s="6" t="str">
        <f>IFERROR(VLOOKUP(C463,Products!$A$2:$G$204,2,FALSE),"")</f>
        <v/>
      </c>
      <c r="E463" s="15"/>
      <c r="F463" s="7">
        <f>IFERROR(VLOOKUP(C463,Products!$A$2:$G$204,6,FALSE),0)</f>
        <v>0</v>
      </c>
      <c r="G463" s="7"/>
      <c r="H463" s="7"/>
      <c r="I463" s="7">
        <f>IF(OR(E463="",F463=""),0,MAX(0,(E463*F463-G463+H463)*IFERROR(VLOOKUP(C463,Products!$A$2:$G$204,7,FALSE),0)))</f>
        <v>0</v>
      </c>
      <c r="J463" s="7"/>
      <c r="K463" s="7">
        <f>IF(OR(E463="",F463=""),0,E463*F463)</f>
        <v>0</v>
      </c>
      <c r="L463" s="7">
        <f>IF(E463="",0,K463-G463+H463-I463-J463)</f>
        <v>0</v>
      </c>
      <c r="M463" s="7">
        <f>IFERROR(E463*VLOOKUP(C463,Products!$A$2:$G$204,4,FALSE),0)</f>
        <v>0</v>
      </c>
      <c r="N463" s="7">
        <f>IFERROR(E463*VLOOKUP(C463,Products!$A$2:$G$204,5,FALSE),0)</f>
        <v>0</v>
      </c>
      <c r="O463" s="7">
        <f>IF(E463="",0,L463-M463-N463)</f>
        <v>0</v>
      </c>
      <c r="P463" s="6"/>
      <c r="Q463" s="6"/>
    </row>
    <row r="464" spans="1:17" x14ac:dyDescent="0.2">
      <c r="A464" s="12"/>
      <c r="B464" s="9"/>
      <c r="C464" s="9"/>
      <c r="D464" s="9" t="str">
        <f>IFERROR(VLOOKUP(C464,Products!$A$2:$G$204,2,FALSE),"")</f>
        <v/>
      </c>
      <c r="E464" s="13"/>
      <c r="F464" s="10">
        <f>IFERROR(VLOOKUP(C464,Products!$A$2:$G$204,6,FALSE),0)</f>
        <v>0</v>
      </c>
      <c r="G464" s="10"/>
      <c r="H464" s="10"/>
      <c r="I464" s="10">
        <f>IF(OR(E464="",F464=""),0,MAX(0,(E464*F464-G464+H464)*IFERROR(VLOOKUP(C464,Products!$A$2:$G$204,7,FALSE),0)))</f>
        <v>0</v>
      </c>
      <c r="J464" s="10"/>
      <c r="K464" s="10">
        <f>IF(OR(E464="",F464=""),0,E464*F464)</f>
        <v>0</v>
      </c>
      <c r="L464" s="10">
        <f>IF(E464="",0,K464-G464+H464-I464-J464)</f>
        <v>0</v>
      </c>
      <c r="M464" s="10">
        <f>IFERROR(E464*VLOOKUP(C464,Products!$A$2:$G$204,4,FALSE),0)</f>
        <v>0</v>
      </c>
      <c r="N464" s="10">
        <f>IFERROR(E464*VLOOKUP(C464,Products!$A$2:$G$204,5,FALSE),0)</f>
        <v>0</v>
      </c>
      <c r="O464" s="10">
        <f>IF(E464="",0,L464-M464-N464)</f>
        <v>0</v>
      </c>
      <c r="P464" s="9"/>
      <c r="Q464" s="9"/>
    </row>
    <row r="465" spans="1:17" x14ac:dyDescent="0.2">
      <c r="A465" s="14"/>
      <c r="B465" s="6"/>
      <c r="C465" s="6"/>
      <c r="D465" s="6" t="str">
        <f>IFERROR(VLOOKUP(C465,Products!$A$2:$G$204,2,FALSE),"")</f>
        <v/>
      </c>
      <c r="E465" s="15"/>
      <c r="F465" s="7">
        <f>IFERROR(VLOOKUP(C465,Products!$A$2:$G$204,6,FALSE),0)</f>
        <v>0</v>
      </c>
      <c r="G465" s="7"/>
      <c r="H465" s="7"/>
      <c r="I465" s="7">
        <f>IF(OR(E465="",F465=""),0,MAX(0,(E465*F465-G465+H465)*IFERROR(VLOOKUP(C465,Products!$A$2:$G$204,7,FALSE),0)))</f>
        <v>0</v>
      </c>
      <c r="J465" s="7"/>
      <c r="K465" s="7">
        <f>IF(OR(E465="",F465=""),0,E465*F465)</f>
        <v>0</v>
      </c>
      <c r="L465" s="7">
        <f>IF(E465="",0,K465-G465+H465-I465-J465)</f>
        <v>0</v>
      </c>
      <c r="M465" s="7">
        <f>IFERROR(E465*VLOOKUP(C465,Products!$A$2:$G$204,4,FALSE),0)</f>
        <v>0</v>
      </c>
      <c r="N465" s="7">
        <f>IFERROR(E465*VLOOKUP(C465,Products!$A$2:$G$204,5,FALSE),0)</f>
        <v>0</v>
      </c>
      <c r="O465" s="7">
        <f>IF(E465="",0,L465-M465-N465)</f>
        <v>0</v>
      </c>
      <c r="P465" s="6"/>
      <c r="Q465" s="6"/>
    </row>
    <row r="466" spans="1:17" x14ac:dyDescent="0.2">
      <c r="A466" s="12"/>
      <c r="B466" s="9"/>
      <c r="C466" s="9"/>
      <c r="D466" s="9" t="str">
        <f>IFERROR(VLOOKUP(C466,Products!$A$2:$G$204,2,FALSE),"")</f>
        <v/>
      </c>
      <c r="E466" s="13"/>
      <c r="F466" s="10">
        <f>IFERROR(VLOOKUP(C466,Products!$A$2:$G$204,6,FALSE),0)</f>
        <v>0</v>
      </c>
      <c r="G466" s="10"/>
      <c r="H466" s="10"/>
      <c r="I466" s="10">
        <f>IF(OR(E466="",F466=""),0,MAX(0,(E466*F466-G466+H466)*IFERROR(VLOOKUP(C466,Products!$A$2:$G$204,7,FALSE),0)))</f>
        <v>0</v>
      </c>
      <c r="J466" s="10"/>
      <c r="K466" s="10">
        <f>IF(OR(E466="",F466=""),0,E466*F466)</f>
        <v>0</v>
      </c>
      <c r="L466" s="10">
        <f>IF(E466="",0,K466-G466+H466-I466-J466)</f>
        <v>0</v>
      </c>
      <c r="M466" s="10">
        <f>IFERROR(E466*VLOOKUP(C466,Products!$A$2:$G$204,4,FALSE),0)</f>
        <v>0</v>
      </c>
      <c r="N466" s="10">
        <f>IFERROR(E466*VLOOKUP(C466,Products!$A$2:$G$204,5,FALSE),0)</f>
        <v>0</v>
      </c>
      <c r="O466" s="10">
        <f>IF(E466="",0,L466-M466-N466)</f>
        <v>0</v>
      </c>
      <c r="P466" s="9"/>
      <c r="Q466" s="9"/>
    </row>
    <row r="467" spans="1:17" x14ac:dyDescent="0.2">
      <c r="A467" s="14"/>
      <c r="B467" s="6"/>
      <c r="C467" s="6"/>
      <c r="D467" s="6" t="str">
        <f>IFERROR(VLOOKUP(C467,Products!$A$2:$G$204,2,FALSE),"")</f>
        <v/>
      </c>
      <c r="E467" s="15"/>
      <c r="F467" s="7">
        <f>IFERROR(VLOOKUP(C467,Products!$A$2:$G$204,6,FALSE),0)</f>
        <v>0</v>
      </c>
      <c r="G467" s="7"/>
      <c r="H467" s="7"/>
      <c r="I467" s="7">
        <f>IF(OR(E467="",F467=""),0,MAX(0,(E467*F467-G467+H467)*IFERROR(VLOOKUP(C467,Products!$A$2:$G$204,7,FALSE),0)))</f>
        <v>0</v>
      </c>
      <c r="J467" s="7"/>
      <c r="K467" s="7">
        <f>IF(OR(E467="",F467=""),0,E467*F467)</f>
        <v>0</v>
      </c>
      <c r="L467" s="7">
        <f>IF(E467="",0,K467-G467+H467-I467-J467)</f>
        <v>0</v>
      </c>
      <c r="M467" s="7">
        <f>IFERROR(E467*VLOOKUP(C467,Products!$A$2:$G$204,4,FALSE),0)</f>
        <v>0</v>
      </c>
      <c r="N467" s="7">
        <f>IFERROR(E467*VLOOKUP(C467,Products!$A$2:$G$204,5,FALSE),0)</f>
        <v>0</v>
      </c>
      <c r="O467" s="7">
        <f>IF(E467="",0,L467-M467-N467)</f>
        <v>0</v>
      </c>
      <c r="P467" s="6"/>
      <c r="Q467" s="6"/>
    </row>
    <row r="468" spans="1:17" x14ac:dyDescent="0.2">
      <c r="A468" s="12"/>
      <c r="B468" s="9"/>
      <c r="C468" s="9"/>
      <c r="D468" s="9" t="str">
        <f>IFERROR(VLOOKUP(C468,Products!$A$2:$G$204,2,FALSE),"")</f>
        <v/>
      </c>
      <c r="E468" s="13"/>
      <c r="F468" s="10">
        <f>IFERROR(VLOOKUP(C468,Products!$A$2:$G$204,6,FALSE),0)</f>
        <v>0</v>
      </c>
      <c r="G468" s="10"/>
      <c r="H468" s="10"/>
      <c r="I468" s="10">
        <f>IF(OR(E468="",F468=""),0,MAX(0,(E468*F468-G468+H468)*IFERROR(VLOOKUP(C468,Products!$A$2:$G$204,7,FALSE),0)))</f>
        <v>0</v>
      </c>
      <c r="J468" s="10"/>
      <c r="K468" s="10">
        <f>IF(OR(E468="",F468=""),0,E468*F468)</f>
        <v>0</v>
      </c>
      <c r="L468" s="10">
        <f>IF(E468="",0,K468-G468+H468-I468-J468)</f>
        <v>0</v>
      </c>
      <c r="M468" s="10">
        <f>IFERROR(E468*VLOOKUP(C468,Products!$A$2:$G$204,4,FALSE),0)</f>
        <v>0</v>
      </c>
      <c r="N468" s="10">
        <f>IFERROR(E468*VLOOKUP(C468,Products!$A$2:$G$204,5,FALSE),0)</f>
        <v>0</v>
      </c>
      <c r="O468" s="10">
        <f>IF(E468="",0,L468-M468-N468)</f>
        <v>0</v>
      </c>
      <c r="P468" s="9"/>
      <c r="Q468" s="9"/>
    </row>
    <row r="469" spans="1:17" x14ac:dyDescent="0.2">
      <c r="A469" s="14"/>
      <c r="B469" s="6"/>
      <c r="C469" s="6"/>
      <c r="D469" s="6" t="str">
        <f>IFERROR(VLOOKUP(C469,Products!$A$2:$G$204,2,FALSE),"")</f>
        <v/>
      </c>
      <c r="E469" s="15"/>
      <c r="F469" s="7">
        <f>IFERROR(VLOOKUP(C469,Products!$A$2:$G$204,6,FALSE),0)</f>
        <v>0</v>
      </c>
      <c r="G469" s="7"/>
      <c r="H469" s="7"/>
      <c r="I469" s="7">
        <f>IF(OR(E469="",F469=""),0,MAX(0,(E469*F469-G469+H469)*IFERROR(VLOOKUP(C469,Products!$A$2:$G$204,7,FALSE),0)))</f>
        <v>0</v>
      </c>
      <c r="J469" s="7"/>
      <c r="K469" s="7">
        <f>IF(OR(E469="",F469=""),0,E469*F469)</f>
        <v>0</v>
      </c>
      <c r="L469" s="7">
        <f>IF(E469="",0,K469-G469+H469-I469-J469)</f>
        <v>0</v>
      </c>
      <c r="M469" s="7">
        <f>IFERROR(E469*VLOOKUP(C469,Products!$A$2:$G$204,4,FALSE),0)</f>
        <v>0</v>
      </c>
      <c r="N469" s="7">
        <f>IFERROR(E469*VLOOKUP(C469,Products!$A$2:$G$204,5,FALSE),0)</f>
        <v>0</v>
      </c>
      <c r="O469" s="7">
        <f>IF(E469="",0,L469-M469-N469)</f>
        <v>0</v>
      </c>
      <c r="P469" s="6"/>
      <c r="Q469" s="6"/>
    </row>
    <row r="470" spans="1:17" x14ac:dyDescent="0.2">
      <c r="A470" s="12"/>
      <c r="B470" s="9"/>
      <c r="C470" s="9"/>
      <c r="D470" s="9" t="str">
        <f>IFERROR(VLOOKUP(C470,Products!$A$2:$G$204,2,FALSE),"")</f>
        <v/>
      </c>
      <c r="E470" s="13"/>
      <c r="F470" s="10">
        <f>IFERROR(VLOOKUP(C470,Products!$A$2:$G$204,6,FALSE),0)</f>
        <v>0</v>
      </c>
      <c r="G470" s="10"/>
      <c r="H470" s="10"/>
      <c r="I470" s="10">
        <f>IF(OR(E470="",F470=""),0,MAX(0,(E470*F470-G470+H470)*IFERROR(VLOOKUP(C470,Products!$A$2:$G$204,7,FALSE),0)))</f>
        <v>0</v>
      </c>
      <c r="J470" s="10"/>
      <c r="K470" s="10">
        <f>IF(OR(E470="",F470=""),0,E470*F470)</f>
        <v>0</v>
      </c>
      <c r="L470" s="10">
        <f>IF(E470="",0,K470-G470+H470-I470-J470)</f>
        <v>0</v>
      </c>
      <c r="M470" s="10">
        <f>IFERROR(E470*VLOOKUP(C470,Products!$A$2:$G$204,4,FALSE),0)</f>
        <v>0</v>
      </c>
      <c r="N470" s="10">
        <f>IFERROR(E470*VLOOKUP(C470,Products!$A$2:$G$204,5,FALSE),0)</f>
        <v>0</v>
      </c>
      <c r="O470" s="10">
        <f>IF(E470="",0,L470-M470-N470)</f>
        <v>0</v>
      </c>
      <c r="P470" s="9"/>
      <c r="Q470" s="9"/>
    </row>
    <row r="471" spans="1:17" x14ac:dyDescent="0.2">
      <c r="A471" s="14"/>
      <c r="B471" s="6"/>
      <c r="C471" s="6"/>
      <c r="D471" s="6" t="str">
        <f>IFERROR(VLOOKUP(C471,Products!$A$2:$G$204,2,FALSE),"")</f>
        <v/>
      </c>
      <c r="E471" s="15"/>
      <c r="F471" s="7">
        <f>IFERROR(VLOOKUP(C471,Products!$A$2:$G$204,6,FALSE),0)</f>
        <v>0</v>
      </c>
      <c r="G471" s="7"/>
      <c r="H471" s="7"/>
      <c r="I471" s="7">
        <f>IF(OR(E471="",F471=""),0,MAX(0,(E471*F471-G471+H471)*IFERROR(VLOOKUP(C471,Products!$A$2:$G$204,7,FALSE),0)))</f>
        <v>0</v>
      </c>
      <c r="J471" s="7"/>
      <c r="K471" s="7">
        <f>IF(OR(E471="",F471=""),0,E471*F471)</f>
        <v>0</v>
      </c>
      <c r="L471" s="7">
        <f>IF(E471="",0,K471-G471+H471-I471-J471)</f>
        <v>0</v>
      </c>
      <c r="M471" s="7">
        <f>IFERROR(E471*VLOOKUP(C471,Products!$A$2:$G$204,4,FALSE),0)</f>
        <v>0</v>
      </c>
      <c r="N471" s="7">
        <f>IFERROR(E471*VLOOKUP(C471,Products!$A$2:$G$204,5,FALSE),0)</f>
        <v>0</v>
      </c>
      <c r="O471" s="7">
        <f>IF(E471="",0,L471-M471-N471)</f>
        <v>0</v>
      </c>
      <c r="P471" s="6"/>
      <c r="Q471" s="6"/>
    </row>
    <row r="472" spans="1:17" x14ac:dyDescent="0.2">
      <c r="A472" s="12"/>
      <c r="B472" s="9"/>
      <c r="C472" s="9"/>
      <c r="D472" s="9" t="str">
        <f>IFERROR(VLOOKUP(C472,Products!$A$2:$G$204,2,FALSE),"")</f>
        <v/>
      </c>
      <c r="E472" s="13"/>
      <c r="F472" s="10">
        <f>IFERROR(VLOOKUP(C472,Products!$A$2:$G$204,6,FALSE),0)</f>
        <v>0</v>
      </c>
      <c r="G472" s="10"/>
      <c r="H472" s="10"/>
      <c r="I472" s="10">
        <f>IF(OR(E472="",F472=""),0,MAX(0,(E472*F472-G472+H472)*IFERROR(VLOOKUP(C472,Products!$A$2:$G$204,7,FALSE),0)))</f>
        <v>0</v>
      </c>
      <c r="J472" s="10"/>
      <c r="K472" s="10">
        <f>IF(OR(E472="",F472=""),0,E472*F472)</f>
        <v>0</v>
      </c>
      <c r="L472" s="10">
        <f>IF(E472="",0,K472-G472+H472-I472-J472)</f>
        <v>0</v>
      </c>
      <c r="M472" s="10">
        <f>IFERROR(E472*VLOOKUP(C472,Products!$A$2:$G$204,4,FALSE),0)</f>
        <v>0</v>
      </c>
      <c r="N472" s="10">
        <f>IFERROR(E472*VLOOKUP(C472,Products!$A$2:$G$204,5,FALSE),0)</f>
        <v>0</v>
      </c>
      <c r="O472" s="10">
        <f>IF(E472="",0,L472-M472-N472)</f>
        <v>0</v>
      </c>
      <c r="P472" s="9"/>
      <c r="Q472" s="9"/>
    </row>
    <row r="473" spans="1:17" x14ac:dyDescent="0.2">
      <c r="A473" s="14"/>
      <c r="B473" s="6"/>
      <c r="C473" s="6"/>
      <c r="D473" s="6" t="str">
        <f>IFERROR(VLOOKUP(C473,Products!$A$2:$G$204,2,FALSE),"")</f>
        <v/>
      </c>
      <c r="E473" s="15"/>
      <c r="F473" s="7">
        <f>IFERROR(VLOOKUP(C473,Products!$A$2:$G$204,6,FALSE),0)</f>
        <v>0</v>
      </c>
      <c r="G473" s="7"/>
      <c r="H473" s="7"/>
      <c r="I473" s="7">
        <f>IF(OR(E473="",F473=""),0,MAX(0,(E473*F473-G473+H473)*IFERROR(VLOOKUP(C473,Products!$A$2:$G$204,7,FALSE),0)))</f>
        <v>0</v>
      </c>
      <c r="J473" s="7"/>
      <c r="K473" s="7">
        <f>IF(OR(E473="",F473=""),0,E473*F473)</f>
        <v>0</v>
      </c>
      <c r="L473" s="7">
        <f>IF(E473="",0,K473-G473+H473-I473-J473)</f>
        <v>0</v>
      </c>
      <c r="M473" s="7">
        <f>IFERROR(E473*VLOOKUP(C473,Products!$A$2:$G$204,4,FALSE),0)</f>
        <v>0</v>
      </c>
      <c r="N473" s="7">
        <f>IFERROR(E473*VLOOKUP(C473,Products!$A$2:$G$204,5,FALSE),0)</f>
        <v>0</v>
      </c>
      <c r="O473" s="7">
        <f>IF(E473="",0,L473-M473-N473)</f>
        <v>0</v>
      </c>
      <c r="P473" s="6"/>
      <c r="Q473" s="6"/>
    </row>
    <row r="474" spans="1:17" x14ac:dyDescent="0.2">
      <c r="A474" s="12"/>
      <c r="B474" s="9"/>
      <c r="C474" s="9"/>
      <c r="D474" s="9" t="str">
        <f>IFERROR(VLOOKUP(C474,Products!$A$2:$G$204,2,FALSE),"")</f>
        <v/>
      </c>
      <c r="E474" s="13"/>
      <c r="F474" s="10">
        <f>IFERROR(VLOOKUP(C474,Products!$A$2:$G$204,6,FALSE),0)</f>
        <v>0</v>
      </c>
      <c r="G474" s="10"/>
      <c r="H474" s="10"/>
      <c r="I474" s="10">
        <f>IF(OR(E474="",F474=""),0,MAX(0,(E474*F474-G474+H474)*IFERROR(VLOOKUP(C474,Products!$A$2:$G$204,7,FALSE),0)))</f>
        <v>0</v>
      </c>
      <c r="J474" s="10"/>
      <c r="K474" s="10">
        <f>IF(OR(E474="",F474=""),0,E474*F474)</f>
        <v>0</v>
      </c>
      <c r="L474" s="10">
        <f>IF(E474="",0,K474-G474+H474-I474-J474)</f>
        <v>0</v>
      </c>
      <c r="M474" s="10">
        <f>IFERROR(E474*VLOOKUP(C474,Products!$A$2:$G$204,4,FALSE),0)</f>
        <v>0</v>
      </c>
      <c r="N474" s="10">
        <f>IFERROR(E474*VLOOKUP(C474,Products!$A$2:$G$204,5,FALSE),0)</f>
        <v>0</v>
      </c>
      <c r="O474" s="10">
        <f>IF(E474="",0,L474-M474-N474)</f>
        <v>0</v>
      </c>
      <c r="P474" s="9"/>
      <c r="Q474" s="9"/>
    </row>
    <row r="475" spans="1:17" x14ac:dyDescent="0.2">
      <c r="A475" s="14"/>
      <c r="B475" s="6"/>
      <c r="C475" s="6"/>
      <c r="D475" s="6" t="str">
        <f>IFERROR(VLOOKUP(C475,Products!$A$2:$G$204,2,FALSE),"")</f>
        <v/>
      </c>
      <c r="E475" s="15"/>
      <c r="F475" s="7">
        <f>IFERROR(VLOOKUP(C475,Products!$A$2:$G$204,6,FALSE),0)</f>
        <v>0</v>
      </c>
      <c r="G475" s="7"/>
      <c r="H475" s="7"/>
      <c r="I475" s="7">
        <f>IF(OR(E475="",F475=""),0,MAX(0,(E475*F475-G475+H475)*IFERROR(VLOOKUP(C475,Products!$A$2:$G$204,7,FALSE),0)))</f>
        <v>0</v>
      </c>
      <c r="J475" s="7"/>
      <c r="K475" s="7">
        <f>IF(OR(E475="",F475=""),0,E475*F475)</f>
        <v>0</v>
      </c>
      <c r="L475" s="7">
        <f>IF(E475="",0,K475-G475+H475-I475-J475)</f>
        <v>0</v>
      </c>
      <c r="M475" s="7">
        <f>IFERROR(E475*VLOOKUP(C475,Products!$A$2:$G$204,4,FALSE),0)</f>
        <v>0</v>
      </c>
      <c r="N475" s="7">
        <f>IFERROR(E475*VLOOKUP(C475,Products!$A$2:$G$204,5,FALSE),0)</f>
        <v>0</v>
      </c>
      <c r="O475" s="7">
        <f>IF(E475="",0,L475-M475-N475)</f>
        <v>0</v>
      </c>
      <c r="P475" s="6"/>
      <c r="Q475" s="6"/>
    </row>
    <row r="476" spans="1:17" x14ac:dyDescent="0.2">
      <c r="A476" s="12"/>
      <c r="B476" s="9"/>
      <c r="C476" s="9"/>
      <c r="D476" s="9" t="str">
        <f>IFERROR(VLOOKUP(C476,Products!$A$2:$G$204,2,FALSE),"")</f>
        <v/>
      </c>
      <c r="E476" s="13"/>
      <c r="F476" s="10">
        <f>IFERROR(VLOOKUP(C476,Products!$A$2:$G$204,6,FALSE),0)</f>
        <v>0</v>
      </c>
      <c r="G476" s="10"/>
      <c r="H476" s="10"/>
      <c r="I476" s="10">
        <f>IF(OR(E476="",F476=""),0,MAX(0,(E476*F476-G476+H476)*IFERROR(VLOOKUP(C476,Products!$A$2:$G$204,7,FALSE),0)))</f>
        <v>0</v>
      </c>
      <c r="J476" s="10"/>
      <c r="K476" s="10">
        <f>IF(OR(E476="",F476=""),0,E476*F476)</f>
        <v>0</v>
      </c>
      <c r="L476" s="10">
        <f>IF(E476="",0,K476-G476+H476-I476-J476)</f>
        <v>0</v>
      </c>
      <c r="M476" s="10">
        <f>IFERROR(E476*VLOOKUP(C476,Products!$A$2:$G$204,4,FALSE),0)</f>
        <v>0</v>
      </c>
      <c r="N476" s="10">
        <f>IFERROR(E476*VLOOKUP(C476,Products!$A$2:$G$204,5,FALSE),0)</f>
        <v>0</v>
      </c>
      <c r="O476" s="10">
        <f>IF(E476="",0,L476-M476-N476)</f>
        <v>0</v>
      </c>
      <c r="P476" s="9"/>
      <c r="Q476" s="9"/>
    </row>
    <row r="477" spans="1:17" x14ac:dyDescent="0.2">
      <c r="A477" s="14"/>
      <c r="B477" s="6"/>
      <c r="C477" s="6"/>
      <c r="D477" s="6" t="str">
        <f>IFERROR(VLOOKUP(C477,Products!$A$2:$G$204,2,FALSE),"")</f>
        <v/>
      </c>
      <c r="E477" s="15"/>
      <c r="F477" s="7">
        <f>IFERROR(VLOOKUP(C477,Products!$A$2:$G$204,6,FALSE),0)</f>
        <v>0</v>
      </c>
      <c r="G477" s="7"/>
      <c r="H477" s="7"/>
      <c r="I477" s="7">
        <f>IF(OR(E477="",F477=""),0,MAX(0,(E477*F477-G477+H477)*IFERROR(VLOOKUP(C477,Products!$A$2:$G$204,7,FALSE),0)))</f>
        <v>0</v>
      </c>
      <c r="J477" s="7"/>
      <c r="K477" s="7">
        <f>IF(OR(E477="",F477=""),0,E477*F477)</f>
        <v>0</v>
      </c>
      <c r="L477" s="7">
        <f>IF(E477="",0,K477-G477+H477-I477-J477)</f>
        <v>0</v>
      </c>
      <c r="M477" s="7">
        <f>IFERROR(E477*VLOOKUP(C477,Products!$A$2:$G$204,4,FALSE),0)</f>
        <v>0</v>
      </c>
      <c r="N477" s="7">
        <f>IFERROR(E477*VLOOKUP(C477,Products!$A$2:$G$204,5,FALSE),0)</f>
        <v>0</v>
      </c>
      <c r="O477" s="7">
        <f>IF(E477="",0,L477-M477-N477)</f>
        <v>0</v>
      </c>
      <c r="P477" s="6"/>
      <c r="Q477" s="6"/>
    </row>
    <row r="478" spans="1:17" x14ac:dyDescent="0.2">
      <c r="A478" s="12"/>
      <c r="B478" s="9"/>
      <c r="C478" s="9"/>
      <c r="D478" s="9" t="str">
        <f>IFERROR(VLOOKUP(C478,Products!$A$2:$G$204,2,FALSE),"")</f>
        <v/>
      </c>
      <c r="E478" s="13"/>
      <c r="F478" s="10">
        <f>IFERROR(VLOOKUP(C478,Products!$A$2:$G$204,6,FALSE),0)</f>
        <v>0</v>
      </c>
      <c r="G478" s="10"/>
      <c r="H478" s="10"/>
      <c r="I478" s="10">
        <f>IF(OR(E478="",F478=""),0,MAX(0,(E478*F478-G478+H478)*IFERROR(VLOOKUP(C478,Products!$A$2:$G$204,7,FALSE),0)))</f>
        <v>0</v>
      </c>
      <c r="J478" s="10"/>
      <c r="K478" s="10">
        <f>IF(OR(E478="",F478=""),0,E478*F478)</f>
        <v>0</v>
      </c>
      <c r="L478" s="10">
        <f>IF(E478="",0,K478-G478+H478-I478-J478)</f>
        <v>0</v>
      </c>
      <c r="M478" s="10">
        <f>IFERROR(E478*VLOOKUP(C478,Products!$A$2:$G$204,4,FALSE),0)</f>
        <v>0</v>
      </c>
      <c r="N478" s="10">
        <f>IFERROR(E478*VLOOKUP(C478,Products!$A$2:$G$204,5,FALSE),0)</f>
        <v>0</v>
      </c>
      <c r="O478" s="10">
        <f>IF(E478="",0,L478-M478-N478)</f>
        <v>0</v>
      </c>
      <c r="P478" s="9"/>
      <c r="Q478" s="9"/>
    </row>
    <row r="479" spans="1:17" x14ac:dyDescent="0.2">
      <c r="A479" s="14"/>
      <c r="B479" s="6"/>
      <c r="C479" s="6"/>
      <c r="D479" s="6" t="str">
        <f>IFERROR(VLOOKUP(C479,Products!$A$2:$G$204,2,FALSE),"")</f>
        <v/>
      </c>
      <c r="E479" s="15"/>
      <c r="F479" s="7">
        <f>IFERROR(VLOOKUP(C479,Products!$A$2:$G$204,6,FALSE),0)</f>
        <v>0</v>
      </c>
      <c r="G479" s="7"/>
      <c r="H479" s="7"/>
      <c r="I479" s="7">
        <f>IF(OR(E479="",F479=""),0,MAX(0,(E479*F479-G479+H479)*IFERROR(VLOOKUP(C479,Products!$A$2:$G$204,7,FALSE),0)))</f>
        <v>0</v>
      </c>
      <c r="J479" s="7"/>
      <c r="K479" s="7">
        <f>IF(OR(E479="",F479=""),0,E479*F479)</f>
        <v>0</v>
      </c>
      <c r="L479" s="7">
        <f>IF(E479="",0,K479-G479+H479-I479-J479)</f>
        <v>0</v>
      </c>
      <c r="M479" s="7">
        <f>IFERROR(E479*VLOOKUP(C479,Products!$A$2:$G$204,4,FALSE),0)</f>
        <v>0</v>
      </c>
      <c r="N479" s="7">
        <f>IFERROR(E479*VLOOKUP(C479,Products!$A$2:$G$204,5,FALSE),0)</f>
        <v>0</v>
      </c>
      <c r="O479" s="7">
        <f>IF(E479="",0,L479-M479-N479)</f>
        <v>0</v>
      </c>
      <c r="P479" s="6"/>
      <c r="Q479" s="6"/>
    </row>
    <row r="480" spans="1:17" x14ac:dyDescent="0.2">
      <c r="A480" s="12"/>
      <c r="B480" s="9"/>
      <c r="C480" s="9"/>
      <c r="D480" s="9" t="str">
        <f>IFERROR(VLOOKUP(C480,Products!$A$2:$G$204,2,FALSE),"")</f>
        <v/>
      </c>
      <c r="E480" s="13"/>
      <c r="F480" s="10">
        <f>IFERROR(VLOOKUP(C480,Products!$A$2:$G$204,6,FALSE),0)</f>
        <v>0</v>
      </c>
      <c r="G480" s="10"/>
      <c r="H480" s="10"/>
      <c r="I480" s="10">
        <f>IF(OR(E480="",F480=""),0,MAX(0,(E480*F480-G480+H480)*IFERROR(VLOOKUP(C480,Products!$A$2:$G$204,7,FALSE),0)))</f>
        <v>0</v>
      </c>
      <c r="J480" s="10"/>
      <c r="K480" s="10">
        <f>IF(OR(E480="",F480=""),0,E480*F480)</f>
        <v>0</v>
      </c>
      <c r="L480" s="10">
        <f>IF(E480="",0,K480-G480+H480-I480-J480)</f>
        <v>0</v>
      </c>
      <c r="M480" s="10">
        <f>IFERROR(E480*VLOOKUP(C480,Products!$A$2:$G$204,4,FALSE),0)</f>
        <v>0</v>
      </c>
      <c r="N480" s="10">
        <f>IFERROR(E480*VLOOKUP(C480,Products!$A$2:$G$204,5,FALSE),0)</f>
        <v>0</v>
      </c>
      <c r="O480" s="10">
        <f>IF(E480="",0,L480-M480-N480)</f>
        <v>0</v>
      </c>
      <c r="P480" s="9"/>
      <c r="Q480" s="9"/>
    </row>
    <row r="481" spans="1:17" x14ac:dyDescent="0.2">
      <c r="A481" s="14"/>
      <c r="B481" s="6"/>
      <c r="C481" s="6"/>
      <c r="D481" s="6" t="str">
        <f>IFERROR(VLOOKUP(C481,Products!$A$2:$G$204,2,FALSE),"")</f>
        <v/>
      </c>
      <c r="E481" s="15"/>
      <c r="F481" s="7">
        <f>IFERROR(VLOOKUP(C481,Products!$A$2:$G$204,6,FALSE),0)</f>
        <v>0</v>
      </c>
      <c r="G481" s="7"/>
      <c r="H481" s="7"/>
      <c r="I481" s="7">
        <f>IF(OR(E481="",F481=""),0,MAX(0,(E481*F481-G481+H481)*IFERROR(VLOOKUP(C481,Products!$A$2:$G$204,7,FALSE),0)))</f>
        <v>0</v>
      </c>
      <c r="J481" s="7"/>
      <c r="K481" s="7">
        <f>IF(OR(E481="",F481=""),0,E481*F481)</f>
        <v>0</v>
      </c>
      <c r="L481" s="7">
        <f>IF(E481="",0,K481-G481+H481-I481-J481)</f>
        <v>0</v>
      </c>
      <c r="M481" s="7">
        <f>IFERROR(E481*VLOOKUP(C481,Products!$A$2:$G$204,4,FALSE),0)</f>
        <v>0</v>
      </c>
      <c r="N481" s="7">
        <f>IFERROR(E481*VLOOKUP(C481,Products!$A$2:$G$204,5,FALSE),0)</f>
        <v>0</v>
      </c>
      <c r="O481" s="7">
        <f>IF(E481="",0,L481-M481-N481)</f>
        <v>0</v>
      </c>
      <c r="P481" s="6"/>
      <c r="Q481" s="6"/>
    </row>
    <row r="482" spans="1:17" x14ac:dyDescent="0.2">
      <c r="A482" s="12"/>
      <c r="B482" s="9"/>
      <c r="C482" s="9"/>
      <c r="D482" s="9" t="str">
        <f>IFERROR(VLOOKUP(C482,Products!$A$2:$G$204,2,FALSE),"")</f>
        <v/>
      </c>
      <c r="E482" s="13"/>
      <c r="F482" s="10">
        <f>IFERROR(VLOOKUP(C482,Products!$A$2:$G$204,6,FALSE),0)</f>
        <v>0</v>
      </c>
      <c r="G482" s="10"/>
      <c r="H482" s="10"/>
      <c r="I482" s="10">
        <f>IF(OR(E482="",F482=""),0,MAX(0,(E482*F482-G482+H482)*IFERROR(VLOOKUP(C482,Products!$A$2:$G$204,7,FALSE),0)))</f>
        <v>0</v>
      </c>
      <c r="J482" s="10"/>
      <c r="K482" s="10">
        <f>IF(OR(E482="",F482=""),0,E482*F482)</f>
        <v>0</v>
      </c>
      <c r="L482" s="10">
        <f>IF(E482="",0,K482-G482+H482-I482-J482)</f>
        <v>0</v>
      </c>
      <c r="M482" s="10">
        <f>IFERROR(E482*VLOOKUP(C482,Products!$A$2:$G$204,4,FALSE),0)</f>
        <v>0</v>
      </c>
      <c r="N482" s="10">
        <f>IFERROR(E482*VLOOKUP(C482,Products!$A$2:$G$204,5,FALSE),0)</f>
        <v>0</v>
      </c>
      <c r="O482" s="10">
        <f>IF(E482="",0,L482-M482-N482)</f>
        <v>0</v>
      </c>
      <c r="P482" s="9"/>
      <c r="Q482" s="9"/>
    </row>
    <row r="483" spans="1:17" x14ac:dyDescent="0.2">
      <c r="A483" s="14"/>
      <c r="B483" s="6"/>
      <c r="C483" s="6"/>
      <c r="D483" s="6" t="str">
        <f>IFERROR(VLOOKUP(C483,Products!$A$2:$G$204,2,FALSE),"")</f>
        <v/>
      </c>
      <c r="E483" s="15"/>
      <c r="F483" s="7">
        <f>IFERROR(VLOOKUP(C483,Products!$A$2:$G$204,6,FALSE),0)</f>
        <v>0</v>
      </c>
      <c r="G483" s="7"/>
      <c r="H483" s="7"/>
      <c r="I483" s="7">
        <f>IF(OR(E483="",F483=""),0,MAX(0,(E483*F483-G483+H483)*IFERROR(VLOOKUP(C483,Products!$A$2:$G$204,7,FALSE),0)))</f>
        <v>0</v>
      </c>
      <c r="J483" s="7"/>
      <c r="K483" s="7">
        <f>IF(OR(E483="",F483=""),0,E483*F483)</f>
        <v>0</v>
      </c>
      <c r="L483" s="7">
        <f>IF(E483="",0,K483-G483+H483-I483-J483)</f>
        <v>0</v>
      </c>
      <c r="M483" s="7">
        <f>IFERROR(E483*VLOOKUP(C483,Products!$A$2:$G$204,4,FALSE),0)</f>
        <v>0</v>
      </c>
      <c r="N483" s="7">
        <f>IFERROR(E483*VLOOKUP(C483,Products!$A$2:$G$204,5,FALSE),0)</f>
        <v>0</v>
      </c>
      <c r="O483" s="7">
        <f>IF(E483="",0,L483-M483-N483)</f>
        <v>0</v>
      </c>
      <c r="P483" s="6"/>
      <c r="Q483" s="6"/>
    </row>
    <row r="484" spans="1:17" x14ac:dyDescent="0.2">
      <c r="A484" s="12"/>
      <c r="B484" s="9"/>
      <c r="C484" s="9"/>
      <c r="D484" s="9" t="str">
        <f>IFERROR(VLOOKUP(C484,Products!$A$2:$G$204,2,FALSE),"")</f>
        <v/>
      </c>
      <c r="E484" s="13"/>
      <c r="F484" s="10">
        <f>IFERROR(VLOOKUP(C484,Products!$A$2:$G$204,6,FALSE),0)</f>
        <v>0</v>
      </c>
      <c r="G484" s="10"/>
      <c r="H484" s="10"/>
      <c r="I484" s="10">
        <f>IF(OR(E484="",F484=""),0,MAX(0,(E484*F484-G484+H484)*IFERROR(VLOOKUP(C484,Products!$A$2:$G$204,7,FALSE),0)))</f>
        <v>0</v>
      </c>
      <c r="J484" s="10"/>
      <c r="K484" s="10">
        <f>IF(OR(E484="",F484=""),0,E484*F484)</f>
        <v>0</v>
      </c>
      <c r="L484" s="10">
        <f>IF(E484="",0,K484-G484+H484-I484-J484)</f>
        <v>0</v>
      </c>
      <c r="M484" s="10">
        <f>IFERROR(E484*VLOOKUP(C484,Products!$A$2:$G$204,4,FALSE),0)</f>
        <v>0</v>
      </c>
      <c r="N484" s="10">
        <f>IFERROR(E484*VLOOKUP(C484,Products!$A$2:$G$204,5,FALSE),0)</f>
        <v>0</v>
      </c>
      <c r="O484" s="10">
        <f>IF(E484="",0,L484-M484-N484)</f>
        <v>0</v>
      </c>
      <c r="P484" s="9"/>
      <c r="Q484" s="9"/>
    </row>
    <row r="485" spans="1:17" x14ac:dyDescent="0.2">
      <c r="A485" s="14"/>
      <c r="B485" s="6"/>
      <c r="C485" s="6"/>
      <c r="D485" s="6" t="str">
        <f>IFERROR(VLOOKUP(C485,Products!$A$2:$G$204,2,FALSE),"")</f>
        <v/>
      </c>
      <c r="E485" s="15"/>
      <c r="F485" s="7">
        <f>IFERROR(VLOOKUP(C485,Products!$A$2:$G$204,6,FALSE),0)</f>
        <v>0</v>
      </c>
      <c r="G485" s="7"/>
      <c r="H485" s="7"/>
      <c r="I485" s="7">
        <f>IF(OR(E485="",F485=""),0,MAX(0,(E485*F485-G485+H485)*IFERROR(VLOOKUP(C485,Products!$A$2:$G$204,7,FALSE),0)))</f>
        <v>0</v>
      </c>
      <c r="J485" s="7"/>
      <c r="K485" s="7">
        <f>IF(OR(E485="",F485=""),0,E485*F485)</f>
        <v>0</v>
      </c>
      <c r="L485" s="7">
        <f>IF(E485="",0,K485-G485+H485-I485-J485)</f>
        <v>0</v>
      </c>
      <c r="M485" s="7">
        <f>IFERROR(E485*VLOOKUP(C485,Products!$A$2:$G$204,4,FALSE),0)</f>
        <v>0</v>
      </c>
      <c r="N485" s="7">
        <f>IFERROR(E485*VLOOKUP(C485,Products!$A$2:$G$204,5,FALSE),0)</f>
        <v>0</v>
      </c>
      <c r="O485" s="7">
        <f>IF(E485="",0,L485-M485-N485)</f>
        <v>0</v>
      </c>
      <c r="P485" s="6"/>
      <c r="Q485" s="6"/>
    </row>
    <row r="486" spans="1:17" x14ac:dyDescent="0.2">
      <c r="A486" s="12"/>
      <c r="B486" s="9"/>
      <c r="C486" s="9"/>
      <c r="D486" s="9" t="str">
        <f>IFERROR(VLOOKUP(C486,Products!$A$2:$G$204,2,FALSE),"")</f>
        <v/>
      </c>
      <c r="E486" s="13"/>
      <c r="F486" s="10">
        <f>IFERROR(VLOOKUP(C486,Products!$A$2:$G$204,6,FALSE),0)</f>
        <v>0</v>
      </c>
      <c r="G486" s="10"/>
      <c r="H486" s="10"/>
      <c r="I486" s="10">
        <f>IF(OR(E486="",F486=""),0,MAX(0,(E486*F486-G486+H486)*IFERROR(VLOOKUP(C486,Products!$A$2:$G$204,7,FALSE),0)))</f>
        <v>0</v>
      </c>
      <c r="J486" s="10"/>
      <c r="K486" s="10">
        <f>IF(OR(E486="",F486=""),0,E486*F486)</f>
        <v>0</v>
      </c>
      <c r="L486" s="10">
        <f>IF(E486="",0,K486-G486+H486-I486-J486)</f>
        <v>0</v>
      </c>
      <c r="M486" s="10">
        <f>IFERROR(E486*VLOOKUP(C486,Products!$A$2:$G$204,4,FALSE),0)</f>
        <v>0</v>
      </c>
      <c r="N486" s="10">
        <f>IFERROR(E486*VLOOKUP(C486,Products!$A$2:$G$204,5,FALSE),0)</f>
        <v>0</v>
      </c>
      <c r="O486" s="10">
        <f>IF(E486="",0,L486-M486-N486)</f>
        <v>0</v>
      </c>
      <c r="P486" s="9"/>
      <c r="Q486" s="9"/>
    </row>
    <row r="487" spans="1:17" x14ac:dyDescent="0.2">
      <c r="A487" s="14"/>
      <c r="B487" s="6"/>
      <c r="C487" s="6"/>
      <c r="D487" s="6" t="str">
        <f>IFERROR(VLOOKUP(C487,Products!$A$2:$G$204,2,FALSE),"")</f>
        <v/>
      </c>
      <c r="E487" s="15"/>
      <c r="F487" s="7">
        <f>IFERROR(VLOOKUP(C487,Products!$A$2:$G$204,6,FALSE),0)</f>
        <v>0</v>
      </c>
      <c r="G487" s="7"/>
      <c r="H487" s="7"/>
      <c r="I487" s="7">
        <f>IF(OR(E487="",F487=""),0,MAX(0,(E487*F487-G487+H487)*IFERROR(VLOOKUP(C487,Products!$A$2:$G$204,7,FALSE),0)))</f>
        <v>0</v>
      </c>
      <c r="J487" s="7"/>
      <c r="K487" s="7">
        <f>IF(OR(E487="",F487=""),0,E487*F487)</f>
        <v>0</v>
      </c>
      <c r="L487" s="7">
        <f>IF(E487="",0,K487-G487+H487-I487-J487)</f>
        <v>0</v>
      </c>
      <c r="M487" s="7">
        <f>IFERROR(E487*VLOOKUP(C487,Products!$A$2:$G$204,4,FALSE),0)</f>
        <v>0</v>
      </c>
      <c r="N487" s="7">
        <f>IFERROR(E487*VLOOKUP(C487,Products!$A$2:$G$204,5,FALSE),0)</f>
        <v>0</v>
      </c>
      <c r="O487" s="7">
        <f>IF(E487="",0,L487-M487-N487)</f>
        <v>0</v>
      </c>
      <c r="P487" s="6"/>
      <c r="Q487" s="6"/>
    </row>
    <row r="488" spans="1:17" x14ac:dyDescent="0.2">
      <c r="A488" s="12"/>
      <c r="B488" s="9"/>
      <c r="C488" s="9"/>
      <c r="D488" s="9" t="str">
        <f>IFERROR(VLOOKUP(C488,Products!$A$2:$G$204,2,FALSE),"")</f>
        <v/>
      </c>
      <c r="E488" s="13"/>
      <c r="F488" s="10">
        <f>IFERROR(VLOOKUP(C488,Products!$A$2:$G$204,6,FALSE),0)</f>
        <v>0</v>
      </c>
      <c r="G488" s="10"/>
      <c r="H488" s="10"/>
      <c r="I488" s="10">
        <f>IF(OR(E488="",F488=""),0,MAX(0,(E488*F488-G488+H488)*IFERROR(VLOOKUP(C488,Products!$A$2:$G$204,7,FALSE),0)))</f>
        <v>0</v>
      </c>
      <c r="J488" s="10"/>
      <c r="K488" s="10">
        <f>IF(OR(E488="",F488=""),0,E488*F488)</f>
        <v>0</v>
      </c>
      <c r="L488" s="10">
        <f>IF(E488="",0,K488-G488+H488-I488-J488)</f>
        <v>0</v>
      </c>
      <c r="M488" s="10">
        <f>IFERROR(E488*VLOOKUP(C488,Products!$A$2:$G$204,4,FALSE),0)</f>
        <v>0</v>
      </c>
      <c r="N488" s="10">
        <f>IFERROR(E488*VLOOKUP(C488,Products!$A$2:$G$204,5,FALSE),0)</f>
        <v>0</v>
      </c>
      <c r="O488" s="10">
        <f>IF(E488="",0,L488-M488-N488)</f>
        <v>0</v>
      </c>
      <c r="P488" s="9"/>
      <c r="Q488" s="9"/>
    </row>
    <row r="489" spans="1:17" x14ac:dyDescent="0.2">
      <c r="A489" s="14"/>
      <c r="B489" s="6"/>
      <c r="C489" s="6"/>
      <c r="D489" s="6" t="str">
        <f>IFERROR(VLOOKUP(C489,Products!$A$2:$G$204,2,FALSE),"")</f>
        <v/>
      </c>
      <c r="E489" s="15"/>
      <c r="F489" s="7">
        <f>IFERROR(VLOOKUP(C489,Products!$A$2:$G$204,6,FALSE),0)</f>
        <v>0</v>
      </c>
      <c r="G489" s="7"/>
      <c r="H489" s="7"/>
      <c r="I489" s="7">
        <f>IF(OR(E489="",F489=""),0,MAX(0,(E489*F489-G489+H489)*IFERROR(VLOOKUP(C489,Products!$A$2:$G$204,7,FALSE),0)))</f>
        <v>0</v>
      </c>
      <c r="J489" s="7"/>
      <c r="K489" s="7">
        <f>IF(OR(E489="",F489=""),0,E489*F489)</f>
        <v>0</v>
      </c>
      <c r="L489" s="7">
        <f>IF(E489="",0,K489-G489+H489-I489-J489)</f>
        <v>0</v>
      </c>
      <c r="M489" s="7">
        <f>IFERROR(E489*VLOOKUP(C489,Products!$A$2:$G$204,4,FALSE),0)</f>
        <v>0</v>
      </c>
      <c r="N489" s="7">
        <f>IFERROR(E489*VLOOKUP(C489,Products!$A$2:$G$204,5,FALSE),0)</f>
        <v>0</v>
      </c>
      <c r="O489" s="7">
        <f>IF(E489="",0,L489-M489-N489)</f>
        <v>0</v>
      </c>
      <c r="P489" s="6"/>
      <c r="Q489" s="6"/>
    </row>
    <row r="490" spans="1:17" x14ac:dyDescent="0.2">
      <c r="A490" s="12"/>
      <c r="B490" s="9"/>
      <c r="C490" s="9"/>
      <c r="D490" s="9" t="str">
        <f>IFERROR(VLOOKUP(C490,Products!$A$2:$G$204,2,FALSE),"")</f>
        <v/>
      </c>
      <c r="E490" s="13"/>
      <c r="F490" s="10">
        <f>IFERROR(VLOOKUP(C490,Products!$A$2:$G$204,6,FALSE),0)</f>
        <v>0</v>
      </c>
      <c r="G490" s="10"/>
      <c r="H490" s="10"/>
      <c r="I490" s="10">
        <f>IF(OR(E490="",F490=""),0,MAX(0,(E490*F490-G490+H490)*IFERROR(VLOOKUP(C490,Products!$A$2:$G$204,7,FALSE),0)))</f>
        <v>0</v>
      </c>
      <c r="J490" s="10"/>
      <c r="K490" s="10">
        <f>IF(OR(E490="",F490=""),0,E490*F490)</f>
        <v>0</v>
      </c>
      <c r="L490" s="10">
        <f>IF(E490="",0,K490-G490+H490-I490-J490)</f>
        <v>0</v>
      </c>
      <c r="M490" s="10">
        <f>IFERROR(E490*VLOOKUP(C490,Products!$A$2:$G$204,4,FALSE),0)</f>
        <v>0</v>
      </c>
      <c r="N490" s="10">
        <f>IFERROR(E490*VLOOKUP(C490,Products!$A$2:$G$204,5,FALSE),0)</f>
        <v>0</v>
      </c>
      <c r="O490" s="10">
        <f>IF(E490="",0,L490-M490-N490)</f>
        <v>0</v>
      </c>
      <c r="P490" s="9"/>
      <c r="Q490" s="9"/>
    </row>
    <row r="491" spans="1:17" x14ac:dyDescent="0.2">
      <c r="A491" s="14"/>
      <c r="B491" s="6"/>
      <c r="C491" s="6"/>
      <c r="D491" s="6" t="str">
        <f>IFERROR(VLOOKUP(C491,Products!$A$2:$G$204,2,FALSE),"")</f>
        <v/>
      </c>
      <c r="E491" s="15"/>
      <c r="F491" s="7">
        <f>IFERROR(VLOOKUP(C491,Products!$A$2:$G$204,6,FALSE),0)</f>
        <v>0</v>
      </c>
      <c r="G491" s="7"/>
      <c r="H491" s="7"/>
      <c r="I491" s="7">
        <f>IF(OR(E491="",F491=""),0,MAX(0,(E491*F491-G491+H491)*IFERROR(VLOOKUP(C491,Products!$A$2:$G$204,7,FALSE),0)))</f>
        <v>0</v>
      </c>
      <c r="J491" s="7"/>
      <c r="K491" s="7">
        <f>IF(OR(E491="",F491=""),0,E491*F491)</f>
        <v>0</v>
      </c>
      <c r="L491" s="7">
        <f>IF(E491="",0,K491-G491+H491-I491-J491)</f>
        <v>0</v>
      </c>
      <c r="M491" s="7">
        <f>IFERROR(E491*VLOOKUP(C491,Products!$A$2:$G$204,4,FALSE),0)</f>
        <v>0</v>
      </c>
      <c r="N491" s="7">
        <f>IFERROR(E491*VLOOKUP(C491,Products!$A$2:$G$204,5,FALSE),0)</f>
        <v>0</v>
      </c>
      <c r="O491" s="7">
        <f>IF(E491="",0,L491-M491-N491)</f>
        <v>0</v>
      </c>
      <c r="P491" s="6"/>
      <c r="Q491" s="6"/>
    </row>
    <row r="492" spans="1:17" x14ac:dyDescent="0.2">
      <c r="A492" s="12"/>
      <c r="B492" s="9"/>
      <c r="C492" s="9"/>
      <c r="D492" s="9" t="str">
        <f>IFERROR(VLOOKUP(C492,Products!$A$2:$G$204,2,FALSE),"")</f>
        <v/>
      </c>
      <c r="E492" s="13"/>
      <c r="F492" s="10">
        <f>IFERROR(VLOOKUP(C492,Products!$A$2:$G$204,6,FALSE),0)</f>
        <v>0</v>
      </c>
      <c r="G492" s="10"/>
      <c r="H492" s="10"/>
      <c r="I492" s="10">
        <f>IF(OR(E492="",F492=""),0,MAX(0,(E492*F492-G492+H492)*IFERROR(VLOOKUP(C492,Products!$A$2:$G$204,7,FALSE),0)))</f>
        <v>0</v>
      </c>
      <c r="J492" s="10"/>
      <c r="K492" s="10">
        <f>IF(OR(E492="",F492=""),0,E492*F492)</f>
        <v>0</v>
      </c>
      <c r="L492" s="10">
        <f>IF(E492="",0,K492-G492+H492-I492-J492)</f>
        <v>0</v>
      </c>
      <c r="M492" s="10">
        <f>IFERROR(E492*VLOOKUP(C492,Products!$A$2:$G$204,4,FALSE),0)</f>
        <v>0</v>
      </c>
      <c r="N492" s="10">
        <f>IFERROR(E492*VLOOKUP(C492,Products!$A$2:$G$204,5,FALSE),0)</f>
        <v>0</v>
      </c>
      <c r="O492" s="10">
        <f>IF(E492="",0,L492-M492-N492)</f>
        <v>0</v>
      </c>
      <c r="P492" s="9"/>
      <c r="Q492" s="9"/>
    </row>
    <row r="493" spans="1:17" x14ac:dyDescent="0.2">
      <c r="A493" s="14"/>
      <c r="B493" s="6"/>
      <c r="C493" s="6"/>
      <c r="D493" s="6" t="str">
        <f>IFERROR(VLOOKUP(C493,Products!$A$2:$G$204,2,FALSE),"")</f>
        <v/>
      </c>
      <c r="E493" s="15"/>
      <c r="F493" s="7">
        <f>IFERROR(VLOOKUP(C493,Products!$A$2:$G$204,6,FALSE),0)</f>
        <v>0</v>
      </c>
      <c r="G493" s="7"/>
      <c r="H493" s="7"/>
      <c r="I493" s="7">
        <f>IF(OR(E493="",F493=""),0,MAX(0,(E493*F493-G493+H493)*IFERROR(VLOOKUP(C493,Products!$A$2:$G$204,7,FALSE),0)))</f>
        <v>0</v>
      </c>
      <c r="J493" s="7"/>
      <c r="K493" s="7">
        <f>IF(OR(E493="",F493=""),0,E493*F493)</f>
        <v>0</v>
      </c>
      <c r="L493" s="7">
        <f>IF(E493="",0,K493-G493+H493-I493-J493)</f>
        <v>0</v>
      </c>
      <c r="M493" s="7">
        <f>IFERROR(E493*VLOOKUP(C493,Products!$A$2:$G$204,4,FALSE),0)</f>
        <v>0</v>
      </c>
      <c r="N493" s="7">
        <f>IFERROR(E493*VLOOKUP(C493,Products!$A$2:$G$204,5,FALSE),0)</f>
        <v>0</v>
      </c>
      <c r="O493" s="7">
        <f>IF(E493="",0,L493-M493-N493)</f>
        <v>0</v>
      </c>
      <c r="P493" s="6"/>
      <c r="Q493" s="6"/>
    </row>
    <row r="494" spans="1:17" x14ac:dyDescent="0.2">
      <c r="A494" s="12"/>
      <c r="B494" s="9"/>
      <c r="C494" s="9"/>
      <c r="D494" s="9" t="str">
        <f>IFERROR(VLOOKUP(C494,Products!$A$2:$G$204,2,FALSE),"")</f>
        <v/>
      </c>
      <c r="E494" s="13"/>
      <c r="F494" s="10">
        <f>IFERROR(VLOOKUP(C494,Products!$A$2:$G$204,6,FALSE),0)</f>
        <v>0</v>
      </c>
      <c r="G494" s="10"/>
      <c r="H494" s="10"/>
      <c r="I494" s="10">
        <f>IF(OR(E494="",F494=""),0,MAX(0,(E494*F494-G494+H494)*IFERROR(VLOOKUP(C494,Products!$A$2:$G$204,7,FALSE),0)))</f>
        <v>0</v>
      </c>
      <c r="J494" s="10"/>
      <c r="K494" s="10">
        <f>IF(OR(E494="",F494=""),0,E494*F494)</f>
        <v>0</v>
      </c>
      <c r="L494" s="10">
        <f>IF(E494="",0,K494-G494+H494-I494-J494)</f>
        <v>0</v>
      </c>
      <c r="M494" s="10">
        <f>IFERROR(E494*VLOOKUP(C494,Products!$A$2:$G$204,4,FALSE),0)</f>
        <v>0</v>
      </c>
      <c r="N494" s="10">
        <f>IFERROR(E494*VLOOKUP(C494,Products!$A$2:$G$204,5,FALSE),0)</f>
        <v>0</v>
      </c>
      <c r="O494" s="10">
        <f>IF(E494="",0,L494-M494-N494)</f>
        <v>0</v>
      </c>
      <c r="P494" s="9"/>
      <c r="Q494" s="9"/>
    </row>
    <row r="495" spans="1:17" x14ac:dyDescent="0.2">
      <c r="A495" s="14"/>
      <c r="B495" s="6"/>
      <c r="C495" s="6"/>
      <c r="D495" s="6" t="str">
        <f>IFERROR(VLOOKUP(C495,Products!$A$2:$G$204,2,FALSE),"")</f>
        <v/>
      </c>
      <c r="E495" s="15"/>
      <c r="F495" s="7">
        <f>IFERROR(VLOOKUP(C495,Products!$A$2:$G$204,6,FALSE),0)</f>
        <v>0</v>
      </c>
      <c r="G495" s="7"/>
      <c r="H495" s="7"/>
      <c r="I495" s="7">
        <f>IF(OR(E495="",F495=""),0,MAX(0,(E495*F495-G495+H495)*IFERROR(VLOOKUP(C495,Products!$A$2:$G$204,7,FALSE),0)))</f>
        <v>0</v>
      </c>
      <c r="J495" s="7"/>
      <c r="K495" s="7">
        <f>IF(OR(E495="",F495=""),0,E495*F495)</f>
        <v>0</v>
      </c>
      <c r="L495" s="7">
        <f>IF(E495="",0,K495-G495+H495-I495-J495)</f>
        <v>0</v>
      </c>
      <c r="M495" s="7">
        <f>IFERROR(E495*VLOOKUP(C495,Products!$A$2:$G$204,4,FALSE),0)</f>
        <v>0</v>
      </c>
      <c r="N495" s="7">
        <f>IFERROR(E495*VLOOKUP(C495,Products!$A$2:$G$204,5,FALSE),0)</f>
        <v>0</v>
      </c>
      <c r="O495" s="7">
        <f>IF(E495="",0,L495-M495-N495)</f>
        <v>0</v>
      </c>
      <c r="P495" s="6"/>
      <c r="Q495" s="6"/>
    </row>
    <row r="496" spans="1:17" x14ac:dyDescent="0.2">
      <c r="A496" s="12"/>
      <c r="B496" s="9"/>
      <c r="C496" s="9"/>
      <c r="D496" s="9" t="str">
        <f>IFERROR(VLOOKUP(C496,Products!$A$2:$G$204,2,FALSE),"")</f>
        <v/>
      </c>
      <c r="E496" s="13"/>
      <c r="F496" s="10">
        <f>IFERROR(VLOOKUP(C496,Products!$A$2:$G$204,6,FALSE),0)</f>
        <v>0</v>
      </c>
      <c r="G496" s="10"/>
      <c r="H496" s="10"/>
      <c r="I496" s="10">
        <f>IF(OR(E496="",F496=""),0,MAX(0,(E496*F496-G496+H496)*IFERROR(VLOOKUP(C496,Products!$A$2:$G$204,7,FALSE),0)))</f>
        <v>0</v>
      </c>
      <c r="J496" s="10"/>
      <c r="K496" s="10">
        <f>IF(OR(E496="",F496=""),0,E496*F496)</f>
        <v>0</v>
      </c>
      <c r="L496" s="10">
        <f>IF(E496="",0,K496-G496+H496-I496-J496)</f>
        <v>0</v>
      </c>
      <c r="M496" s="10">
        <f>IFERROR(E496*VLOOKUP(C496,Products!$A$2:$G$204,4,FALSE),0)</f>
        <v>0</v>
      </c>
      <c r="N496" s="10">
        <f>IFERROR(E496*VLOOKUP(C496,Products!$A$2:$G$204,5,FALSE),0)</f>
        <v>0</v>
      </c>
      <c r="O496" s="10">
        <f>IF(E496="",0,L496-M496-N496)</f>
        <v>0</v>
      </c>
      <c r="P496" s="9"/>
      <c r="Q496" s="9"/>
    </row>
    <row r="497" spans="1:17" x14ac:dyDescent="0.2">
      <c r="A497" s="14"/>
      <c r="B497" s="6"/>
      <c r="C497" s="6"/>
      <c r="D497" s="6" t="str">
        <f>IFERROR(VLOOKUP(C497,Products!$A$2:$G$204,2,FALSE),"")</f>
        <v/>
      </c>
      <c r="E497" s="15"/>
      <c r="F497" s="7">
        <f>IFERROR(VLOOKUP(C497,Products!$A$2:$G$204,6,FALSE),0)</f>
        <v>0</v>
      </c>
      <c r="G497" s="7"/>
      <c r="H497" s="7"/>
      <c r="I497" s="7">
        <f>IF(OR(E497="",F497=""),0,MAX(0,(E497*F497-G497+H497)*IFERROR(VLOOKUP(C497,Products!$A$2:$G$204,7,FALSE),0)))</f>
        <v>0</v>
      </c>
      <c r="J497" s="7"/>
      <c r="K497" s="7">
        <f>IF(OR(E497="",F497=""),0,E497*F497)</f>
        <v>0</v>
      </c>
      <c r="L497" s="7">
        <f>IF(E497="",0,K497-G497+H497-I497-J497)</f>
        <v>0</v>
      </c>
      <c r="M497" s="7">
        <f>IFERROR(E497*VLOOKUP(C497,Products!$A$2:$G$204,4,FALSE),0)</f>
        <v>0</v>
      </c>
      <c r="N497" s="7">
        <f>IFERROR(E497*VLOOKUP(C497,Products!$A$2:$G$204,5,FALSE),0)</f>
        <v>0</v>
      </c>
      <c r="O497" s="7">
        <f>IF(E497="",0,L497-M497-N497)</f>
        <v>0</v>
      </c>
      <c r="P497" s="6"/>
      <c r="Q497" s="6"/>
    </row>
    <row r="498" spans="1:17" x14ac:dyDescent="0.2">
      <c r="A498" s="12"/>
      <c r="B498" s="9"/>
      <c r="C498" s="9"/>
      <c r="D498" s="9" t="str">
        <f>IFERROR(VLOOKUP(C498,Products!$A$2:$G$204,2,FALSE),"")</f>
        <v/>
      </c>
      <c r="E498" s="13"/>
      <c r="F498" s="10">
        <f>IFERROR(VLOOKUP(C498,Products!$A$2:$G$204,6,FALSE),0)</f>
        <v>0</v>
      </c>
      <c r="G498" s="10"/>
      <c r="H498" s="10"/>
      <c r="I498" s="10">
        <f>IF(OR(E498="",F498=""),0,MAX(0,(E498*F498-G498+H498)*IFERROR(VLOOKUP(C498,Products!$A$2:$G$204,7,FALSE),0)))</f>
        <v>0</v>
      </c>
      <c r="J498" s="10"/>
      <c r="K498" s="10">
        <f>IF(OR(E498="",F498=""),0,E498*F498)</f>
        <v>0</v>
      </c>
      <c r="L498" s="10">
        <f>IF(E498="",0,K498-G498+H498-I498-J498)</f>
        <v>0</v>
      </c>
      <c r="M498" s="10">
        <f>IFERROR(E498*VLOOKUP(C498,Products!$A$2:$G$204,4,FALSE),0)</f>
        <v>0</v>
      </c>
      <c r="N498" s="10">
        <f>IFERROR(E498*VLOOKUP(C498,Products!$A$2:$G$204,5,FALSE),0)</f>
        <v>0</v>
      </c>
      <c r="O498" s="10">
        <f>IF(E498="",0,L498-M498-N498)</f>
        <v>0</v>
      </c>
      <c r="P498" s="9"/>
      <c r="Q498" s="9"/>
    </row>
    <row r="499" spans="1:17" x14ac:dyDescent="0.2">
      <c r="A499" s="14"/>
      <c r="B499" s="6"/>
      <c r="C499" s="6"/>
      <c r="D499" s="6" t="str">
        <f>IFERROR(VLOOKUP(C499,Products!$A$2:$G$204,2,FALSE),"")</f>
        <v/>
      </c>
      <c r="E499" s="15"/>
      <c r="F499" s="7">
        <f>IFERROR(VLOOKUP(C499,Products!$A$2:$G$204,6,FALSE),0)</f>
        <v>0</v>
      </c>
      <c r="G499" s="7"/>
      <c r="H499" s="7"/>
      <c r="I499" s="7">
        <f>IF(OR(E499="",F499=""),0,MAX(0,(E499*F499-G499+H499)*IFERROR(VLOOKUP(C499,Products!$A$2:$G$204,7,FALSE),0)))</f>
        <v>0</v>
      </c>
      <c r="J499" s="7"/>
      <c r="K499" s="7">
        <f>IF(OR(E499="",F499=""),0,E499*F499)</f>
        <v>0</v>
      </c>
      <c r="L499" s="7">
        <f>IF(E499="",0,K499-G499+H499-I499-J499)</f>
        <v>0</v>
      </c>
      <c r="M499" s="7">
        <f>IFERROR(E499*VLOOKUP(C499,Products!$A$2:$G$204,4,FALSE),0)</f>
        <v>0</v>
      </c>
      <c r="N499" s="7">
        <f>IFERROR(E499*VLOOKUP(C499,Products!$A$2:$G$204,5,FALSE),0)</f>
        <v>0</v>
      </c>
      <c r="O499" s="7">
        <f>IF(E499="",0,L499-M499-N499)</f>
        <v>0</v>
      </c>
      <c r="P499" s="6"/>
      <c r="Q499" s="6"/>
    </row>
    <row r="500" spans="1:17" x14ac:dyDescent="0.2">
      <c r="A500" s="12"/>
      <c r="B500" s="9"/>
      <c r="C500" s="9"/>
      <c r="D500" s="9" t="str">
        <f>IFERROR(VLOOKUP(C500,Products!$A$2:$G$204,2,FALSE),"")</f>
        <v/>
      </c>
      <c r="E500" s="13"/>
      <c r="F500" s="10">
        <f>IFERROR(VLOOKUP(C500,Products!$A$2:$G$204,6,FALSE),0)</f>
        <v>0</v>
      </c>
      <c r="G500" s="10"/>
      <c r="H500" s="10"/>
      <c r="I500" s="10">
        <f>IF(OR(E500="",F500=""),0,MAX(0,(E500*F500-G500+H500)*IFERROR(VLOOKUP(C500,Products!$A$2:$G$204,7,FALSE),0)))</f>
        <v>0</v>
      </c>
      <c r="J500" s="10"/>
      <c r="K500" s="10">
        <f>IF(OR(E500="",F500=""),0,E500*F500)</f>
        <v>0</v>
      </c>
      <c r="L500" s="10">
        <f>IF(E500="",0,K500-G500+H500-I500-J500)</f>
        <v>0</v>
      </c>
      <c r="M500" s="10">
        <f>IFERROR(E500*VLOOKUP(C500,Products!$A$2:$G$204,4,FALSE),0)</f>
        <v>0</v>
      </c>
      <c r="N500" s="10">
        <f>IFERROR(E500*VLOOKUP(C500,Products!$A$2:$G$204,5,FALSE),0)</f>
        <v>0</v>
      </c>
      <c r="O500" s="10">
        <f>IF(E500="",0,L500-M500-N500)</f>
        <v>0</v>
      </c>
      <c r="P500" s="9"/>
      <c r="Q500" s="9"/>
    </row>
    <row r="501" spans="1:17" x14ac:dyDescent="0.2">
      <c r="A501" s="14"/>
      <c r="B501" s="6"/>
      <c r="C501" s="6"/>
      <c r="D501" s="6" t="str">
        <f>IFERROR(VLOOKUP(C501,Products!$A$2:$G$204,2,FALSE),"")</f>
        <v/>
      </c>
      <c r="E501" s="15"/>
      <c r="F501" s="7">
        <f>IFERROR(VLOOKUP(C501,Products!$A$2:$G$204,6,FALSE),0)</f>
        <v>0</v>
      </c>
      <c r="G501" s="7"/>
      <c r="H501" s="7"/>
      <c r="I501" s="7">
        <f>IF(OR(E501="",F501=""),0,MAX(0,(E501*F501-G501+H501)*IFERROR(VLOOKUP(C501,Products!$A$2:$G$204,7,FALSE),0)))</f>
        <v>0</v>
      </c>
      <c r="J501" s="7"/>
      <c r="K501" s="7">
        <f>IF(OR(E501="",F501=""),0,E501*F501)</f>
        <v>0</v>
      </c>
      <c r="L501" s="7">
        <f>IF(E501="",0,K501-G501+H501-I501-J501)</f>
        <v>0</v>
      </c>
      <c r="M501" s="7">
        <f>IFERROR(E501*VLOOKUP(C501,Products!$A$2:$G$204,4,FALSE),0)</f>
        <v>0</v>
      </c>
      <c r="N501" s="7">
        <f>IFERROR(E501*VLOOKUP(C501,Products!$A$2:$G$204,5,FALSE),0)</f>
        <v>0</v>
      </c>
      <c r="O501" s="7">
        <f>IF(E501="",0,L501-M501-N501)</f>
        <v>0</v>
      </c>
      <c r="P501" s="6"/>
      <c r="Q501" s="6"/>
    </row>
  </sheetData>
  <autoFilter ref="A1:Q501" xr:uid="{00000000-0009-0000-0000-000003000000}"/>
  <dataValidations count="2">
    <dataValidation type="whole" operator="greaterThan" allowBlank="1" promptTitle="Quantity" prompt="Enter a whole number greater than zero." sqref="E2:E501" xr:uid="{00000000-0002-0000-0300-000000000000}">
      <formula1>0</formula1>
    </dataValidation>
    <dataValidation type="list" allowBlank="1" sqref="P2:P501" xr:uid="{00000000-0002-0000-0300-000001000000}">
      <formula1>"Pending,Completed,Cancelled,Returned,Partially Refunded"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46E5"/>
    <pageSetUpPr fitToPage="1"/>
  </sheetPr>
  <dimension ref="A1:F2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2.05859375" customWidth="1"/>
    <col min="3" max="3" width="34.97265625" customWidth="1"/>
    <col min="4" max="4" width="16.0078125" customWidth="1"/>
    <col min="5" max="5" width="20.04296875" customWidth="1"/>
    <col min="6" max="6" width="37.93359375" customWidth="1"/>
  </cols>
  <sheetData>
    <row r="1" spans="1:6" x14ac:dyDescent="0.2">
      <c r="A1" s="16" t="s">
        <v>52</v>
      </c>
      <c r="B1" s="16" t="s">
        <v>66</v>
      </c>
      <c r="C1" s="16" t="s">
        <v>67</v>
      </c>
      <c r="D1" s="16" t="s">
        <v>68</v>
      </c>
      <c r="E1" s="16" t="s">
        <v>69</v>
      </c>
      <c r="F1" s="16" t="s">
        <v>41</v>
      </c>
    </row>
    <row r="2" spans="1:6" x14ac:dyDescent="0.2">
      <c r="A2" s="12"/>
      <c r="B2" s="9"/>
      <c r="C2" s="9"/>
      <c r="D2" s="10"/>
      <c r="E2" s="9"/>
      <c r="F2" s="9"/>
    </row>
    <row r="3" spans="1:6" x14ac:dyDescent="0.2">
      <c r="A3" s="14"/>
      <c r="B3" s="6"/>
      <c r="C3" s="6"/>
      <c r="D3" s="7"/>
      <c r="E3" s="6"/>
      <c r="F3" s="6"/>
    </row>
    <row r="4" spans="1:6" x14ac:dyDescent="0.2">
      <c r="A4" s="12"/>
      <c r="B4" s="9"/>
      <c r="C4" s="9"/>
      <c r="D4" s="10"/>
      <c r="E4" s="9"/>
      <c r="F4" s="9"/>
    </row>
    <row r="5" spans="1:6" x14ac:dyDescent="0.2">
      <c r="A5" s="14"/>
      <c r="B5" s="6"/>
      <c r="C5" s="6"/>
      <c r="D5" s="7"/>
      <c r="E5" s="6"/>
      <c r="F5" s="6"/>
    </row>
    <row r="6" spans="1:6" x14ac:dyDescent="0.2">
      <c r="A6" s="12"/>
      <c r="B6" s="9"/>
      <c r="C6" s="9"/>
      <c r="D6" s="10"/>
      <c r="E6" s="9"/>
      <c r="F6" s="9"/>
    </row>
    <row r="7" spans="1:6" x14ac:dyDescent="0.2">
      <c r="A7" s="14"/>
      <c r="B7" s="6"/>
      <c r="C7" s="6"/>
      <c r="D7" s="7"/>
      <c r="E7" s="6"/>
      <c r="F7" s="6"/>
    </row>
    <row r="8" spans="1:6" x14ac:dyDescent="0.2">
      <c r="A8" s="12"/>
      <c r="B8" s="9"/>
      <c r="C8" s="9"/>
      <c r="D8" s="10"/>
      <c r="E8" s="9"/>
      <c r="F8" s="9"/>
    </row>
    <row r="9" spans="1:6" x14ac:dyDescent="0.2">
      <c r="A9" s="14"/>
      <c r="B9" s="6"/>
      <c r="C9" s="6"/>
      <c r="D9" s="7"/>
      <c r="E9" s="6"/>
      <c r="F9" s="6"/>
    </row>
    <row r="10" spans="1:6" x14ac:dyDescent="0.2">
      <c r="A10" s="12"/>
      <c r="B10" s="9"/>
      <c r="C10" s="9"/>
      <c r="D10" s="10"/>
      <c r="E10" s="9"/>
      <c r="F10" s="9"/>
    </row>
    <row r="11" spans="1:6" x14ac:dyDescent="0.2">
      <c r="A11" s="14"/>
      <c r="B11" s="6"/>
      <c r="C11" s="6"/>
      <c r="D11" s="7"/>
      <c r="E11" s="6"/>
      <c r="F11" s="6"/>
    </row>
    <row r="12" spans="1:6" x14ac:dyDescent="0.2">
      <c r="A12" s="12"/>
      <c r="B12" s="9"/>
      <c r="C12" s="9"/>
      <c r="D12" s="10"/>
      <c r="E12" s="9"/>
      <c r="F12" s="9"/>
    </row>
    <row r="13" spans="1:6" x14ac:dyDescent="0.2">
      <c r="A13" s="14"/>
      <c r="B13" s="6"/>
      <c r="C13" s="6"/>
      <c r="D13" s="7"/>
      <c r="E13" s="6"/>
      <c r="F13" s="6"/>
    </row>
    <row r="14" spans="1:6" x14ac:dyDescent="0.2">
      <c r="A14" s="12"/>
      <c r="B14" s="9"/>
      <c r="C14" s="9"/>
      <c r="D14" s="10"/>
      <c r="E14" s="9"/>
      <c r="F14" s="9"/>
    </row>
    <row r="15" spans="1:6" x14ac:dyDescent="0.2">
      <c r="A15" s="14"/>
      <c r="B15" s="6"/>
      <c r="C15" s="6"/>
      <c r="D15" s="7"/>
      <c r="E15" s="6"/>
      <c r="F15" s="6"/>
    </row>
    <row r="16" spans="1:6" x14ac:dyDescent="0.2">
      <c r="A16" s="12"/>
      <c r="B16" s="9"/>
      <c r="C16" s="9"/>
      <c r="D16" s="10"/>
      <c r="E16" s="9"/>
      <c r="F16" s="9"/>
    </row>
    <row r="17" spans="1:6" x14ac:dyDescent="0.2">
      <c r="A17" s="14"/>
      <c r="B17" s="6"/>
      <c r="C17" s="6"/>
      <c r="D17" s="7"/>
      <c r="E17" s="6"/>
      <c r="F17" s="6"/>
    </row>
    <row r="18" spans="1:6" x14ac:dyDescent="0.2">
      <c r="A18" s="12"/>
      <c r="B18" s="9"/>
      <c r="C18" s="9"/>
      <c r="D18" s="10"/>
      <c r="E18" s="9"/>
      <c r="F18" s="9"/>
    </row>
    <row r="19" spans="1:6" x14ac:dyDescent="0.2">
      <c r="A19" s="14"/>
      <c r="B19" s="6"/>
      <c r="C19" s="6"/>
      <c r="D19" s="7"/>
      <c r="E19" s="6"/>
      <c r="F19" s="6"/>
    </row>
    <row r="20" spans="1:6" x14ac:dyDescent="0.2">
      <c r="A20" s="12"/>
      <c r="B20" s="9"/>
      <c r="C20" s="9"/>
      <c r="D20" s="10"/>
      <c r="E20" s="9"/>
      <c r="F20" s="9"/>
    </row>
    <row r="21" spans="1:6" x14ac:dyDescent="0.2">
      <c r="A21" s="14"/>
      <c r="B21" s="6"/>
      <c r="C21" s="6"/>
      <c r="D21" s="7"/>
      <c r="E21" s="6"/>
      <c r="F21" s="6"/>
    </row>
    <row r="22" spans="1:6" x14ac:dyDescent="0.2">
      <c r="A22" s="12"/>
      <c r="B22" s="9"/>
      <c r="C22" s="9"/>
      <c r="D22" s="10"/>
      <c r="E22" s="9"/>
      <c r="F22" s="9"/>
    </row>
    <row r="23" spans="1:6" x14ac:dyDescent="0.2">
      <c r="A23" s="14"/>
      <c r="B23" s="6"/>
      <c r="C23" s="6"/>
      <c r="D23" s="7"/>
      <c r="E23" s="6"/>
      <c r="F23" s="6"/>
    </row>
    <row r="24" spans="1:6" x14ac:dyDescent="0.2">
      <c r="A24" s="12"/>
      <c r="B24" s="9"/>
      <c r="C24" s="9"/>
      <c r="D24" s="10"/>
      <c r="E24" s="9"/>
      <c r="F24" s="9"/>
    </row>
    <row r="25" spans="1:6" x14ac:dyDescent="0.2">
      <c r="A25" s="14"/>
      <c r="B25" s="6"/>
      <c r="C25" s="6"/>
      <c r="D25" s="7"/>
      <c r="E25" s="6"/>
      <c r="F25" s="6"/>
    </row>
    <row r="26" spans="1:6" x14ac:dyDescent="0.2">
      <c r="A26" s="12"/>
      <c r="B26" s="9"/>
      <c r="C26" s="9"/>
      <c r="D26" s="10"/>
      <c r="E26" s="9"/>
      <c r="F26" s="9"/>
    </row>
    <row r="27" spans="1:6" x14ac:dyDescent="0.2">
      <c r="A27" s="14"/>
      <c r="B27" s="6"/>
      <c r="C27" s="6"/>
      <c r="D27" s="7"/>
      <c r="E27" s="6"/>
      <c r="F27" s="6"/>
    </row>
    <row r="28" spans="1:6" x14ac:dyDescent="0.2">
      <c r="A28" s="12"/>
      <c r="B28" s="9"/>
      <c r="C28" s="9"/>
      <c r="D28" s="10"/>
      <c r="E28" s="9"/>
      <c r="F28" s="9"/>
    </row>
    <row r="29" spans="1:6" x14ac:dyDescent="0.2">
      <c r="A29" s="14"/>
      <c r="B29" s="6"/>
      <c r="C29" s="6"/>
      <c r="D29" s="7"/>
      <c r="E29" s="6"/>
      <c r="F29" s="6"/>
    </row>
    <row r="30" spans="1:6" x14ac:dyDescent="0.2">
      <c r="A30" s="12"/>
      <c r="B30" s="9"/>
      <c r="C30" s="9"/>
      <c r="D30" s="10"/>
      <c r="E30" s="9"/>
      <c r="F30" s="9"/>
    </row>
    <row r="31" spans="1:6" x14ac:dyDescent="0.2">
      <c r="A31" s="14"/>
      <c r="B31" s="6"/>
      <c r="C31" s="6"/>
      <c r="D31" s="7"/>
      <c r="E31" s="6"/>
      <c r="F31" s="6"/>
    </row>
    <row r="32" spans="1:6" x14ac:dyDescent="0.2">
      <c r="A32" s="12"/>
      <c r="B32" s="9"/>
      <c r="C32" s="9"/>
      <c r="D32" s="10"/>
      <c r="E32" s="9"/>
      <c r="F32" s="9"/>
    </row>
    <row r="33" spans="1:6" x14ac:dyDescent="0.2">
      <c r="A33" s="14"/>
      <c r="B33" s="6"/>
      <c r="C33" s="6"/>
      <c r="D33" s="7"/>
      <c r="E33" s="6"/>
      <c r="F33" s="6"/>
    </row>
    <row r="34" spans="1:6" x14ac:dyDescent="0.2">
      <c r="A34" s="12"/>
      <c r="B34" s="9"/>
      <c r="C34" s="9"/>
      <c r="D34" s="10"/>
      <c r="E34" s="9"/>
      <c r="F34" s="9"/>
    </row>
    <row r="35" spans="1:6" x14ac:dyDescent="0.2">
      <c r="A35" s="14"/>
      <c r="B35" s="6"/>
      <c r="C35" s="6"/>
      <c r="D35" s="7"/>
      <c r="E35" s="6"/>
      <c r="F35" s="6"/>
    </row>
    <row r="36" spans="1:6" x14ac:dyDescent="0.2">
      <c r="A36" s="12"/>
      <c r="B36" s="9"/>
      <c r="C36" s="9"/>
      <c r="D36" s="10"/>
      <c r="E36" s="9"/>
      <c r="F36" s="9"/>
    </row>
    <row r="37" spans="1:6" x14ac:dyDescent="0.2">
      <c r="A37" s="14"/>
      <c r="B37" s="6"/>
      <c r="C37" s="6"/>
      <c r="D37" s="7"/>
      <c r="E37" s="6"/>
      <c r="F37" s="6"/>
    </row>
    <row r="38" spans="1:6" x14ac:dyDescent="0.2">
      <c r="A38" s="12"/>
      <c r="B38" s="9"/>
      <c r="C38" s="9"/>
      <c r="D38" s="10"/>
      <c r="E38" s="9"/>
      <c r="F38" s="9"/>
    </row>
    <row r="39" spans="1:6" x14ac:dyDescent="0.2">
      <c r="A39" s="14"/>
      <c r="B39" s="6"/>
      <c r="C39" s="6"/>
      <c r="D39" s="7"/>
      <c r="E39" s="6"/>
      <c r="F39" s="6"/>
    </row>
    <row r="40" spans="1:6" x14ac:dyDescent="0.2">
      <c r="A40" s="12"/>
      <c r="B40" s="9"/>
      <c r="C40" s="9"/>
      <c r="D40" s="10"/>
      <c r="E40" s="9"/>
      <c r="F40" s="9"/>
    </row>
    <row r="41" spans="1:6" x14ac:dyDescent="0.2">
      <c r="A41" s="14"/>
      <c r="B41" s="6"/>
      <c r="C41" s="6"/>
      <c r="D41" s="7"/>
      <c r="E41" s="6"/>
      <c r="F41" s="6"/>
    </row>
    <row r="42" spans="1:6" x14ac:dyDescent="0.2">
      <c r="A42" s="12"/>
      <c r="B42" s="9"/>
      <c r="C42" s="9"/>
      <c r="D42" s="10"/>
      <c r="E42" s="9"/>
      <c r="F42" s="9"/>
    </row>
    <row r="43" spans="1:6" x14ac:dyDescent="0.2">
      <c r="A43" s="14"/>
      <c r="B43" s="6"/>
      <c r="C43" s="6"/>
      <c r="D43" s="7"/>
      <c r="E43" s="6"/>
      <c r="F43" s="6"/>
    </row>
    <row r="44" spans="1:6" x14ac:dyDescent="0.2">
      <c r="A44" s="12"/>
      <c r="B44" s="9"/>
      <c r="C44" s="9"/>
      <c r="D44" s="10"/>
      <c r="E44" s="9"/>
      <c r="F44" s="9"/>
    </row>
    <row r="45" spans="1:6" x14ac:dyDescent="0.2">
      <c r="A45" s="14"/>
      <c r="B45" s="6"/>
      <c r="C45" s="6"/>
      <c r="D45" s="7"/>
      <c r="E45" s="6"/>
      <c r="F45" s="6"/>
    </row>
    <row r="46" spans="1:6" x14ac:dyDescent="0.2">
      <c r="A46" s="12"/>
      <c r="B46" s="9"/>
      <c r="C46" s="9"/>
      <c r="D46" s="10"/>
      <c r="E46" s="9"/>
      <c r="F46" s="9"/>
    </row>
    <row r="47" spans="1:6" x14ac:dyDescent="0.2">
      <c r="A47" s="14"/>
      <c r="B47" s="6"/>
      <c r="C47" s="6"/>
      <c r="D47" s="7"/>
      <c r="E47" s="6"/>
      <c r="F47" s="6"/>
    </row>
    <row r="48" spans="1:6" x14ac:dyDescent="0.2">
      <c r="A48" s="12"/>
      <c r="B48" s="9"/>
      <c r="C48" s="9"/>
      <c r="D48" s="10"/>
      <c r="E48" s="9"/>
      <c r="F48" s="9"/>
    </row>
    <row r="49" spans="1:6" x14ac:dyDescent="0.2">
      <c r="A49" s="14"/>
      <c r="B49" s="6"/>
      <c r="C49" s="6"/>
      <c r="D49" s="7"/>
      <c r="E49" s="6"/>
      <c r="F49" s="6"/>
    </row>
    <row r="50" spans="1:6" x14ac:dyDescent="0.2">
      <c r="A50" s="12"/>
      <c r="B50" s="9"/>
      <c r="C50" s="9"/>
      <c r="D50" s="10"/>
      <c r="E50" s="9"/>
      <c r="F50" s="9"/>
    </row>
    <row r="51" spans="1:6" x14ac:dyDescent="0.2">
      <c r="A51" s="14"/>
      <c r="B51" s="6"/>
      <c r="C51" s="6"/>
      <c r="D51" s="7"/>
      <c r="E51" s="6"/>
      <c r="F51" s="6"/>
    </row>
    <row r="52" spans="1:6" x14ac:dyDescent="0.2">
      <c r="A52" s="12"/>
      <c r="B52" s="9"/>
      <c r="C52" s="9"/>
      <c r="D52" s="10"/>
      <c r="E52" s="9"/>
      <c r="F52" s="9"/>
    </row>
    <row r="53" spans="1:6" x14ac:dyDescent="0.2">
      <c r="A53" s="14"/>
      <c r="B53" s="6"/>
      <c r="C53" s="6"/>
      <c r="D53" s="7"/>
      <c r="E53" s="6"/>
      <c r="F53" s="6"/>
    </row>
    <row r="54" spans="1:6" x14ac:dyDescent="0.2">
      <c r="A54" s="12"/>
      <c r="B54" s="9"/>
      <c r="C54" s="9"/>
      <c r="D54" s="10"/>
      <c r="E54" s="9"/>
      <c r="F54" s="9"/>
    </row>
    <row r="55" spans="1:6" x14ac:dyDescent="0.2">
      <c r="A55" s="14"/>
      <c r="B55" s="6"/>
      <c r="C55" s="6"/>
      <c r="D55" s="7"/>
      <c r="E55" s="6"/>
      <c r="F55" s="6"/>
    </row>
    <row r="56" spans="1:6" x14ac:dyDescent="0.2">
      <c r="A56" s="12"/>
      <c r="B56" s="9"/>
      <c r="C56" s="9"/>
      <c r="D56" s="10"/>
      <c r="E56" s="9"/>
      <c r="F56" s="9"/>
    </row>
    <row r="57" spans="1:6" x14ac:dyDescent="0.2">
      <c r="A57" s="14"/>
      <c r="B57" s="6"/>
      <c r="C57" s="6"/>
      <c r="D57" s="7"/>
      <c r="E57" s="6"/>
      <c r="F57" s="6"/>
    </row>
    <row r="58" spans="1:6" x14ac:dyDescent="0.2">
      <c r="A58" s="12"/>
      <c r="B58" s="9"/>
      <c r="C58" s="9"/>
      <c r="D58" s="10"/>
      <c r="E58" s="9"/>
      <c r="F58" s="9"/>
    </row>
    <row r="59" spans="1:6" x14ac:dyDescent="0.2">
      <c r="A59" s="14"/>
      <c r="B59" s="6"/>
      <c r="C59" s="6"/>
      <c r="D59" s="7"/>
      <c r="E59" s="6"/>
      <c r="F59" s="6"/>
    </row>
    <row r="60" spans="1:6" x14ac:dyDescent="0.2">
      <c r="A60" s="12"/>
      <c r="B60" s="9"/>
      <c r="C60" s="9"/>
      <c r="D60" s="10"/>
      <c r="E60" s="9"/>
      <c r="F60" s="9"/>
    </row>
    <row r="61" spans="1:6" x14ac:dyDescent="0.2">
      <c r="A61" s="14"/>
      <c r="B61" s="6"/>
      <c r="C61" s="6"/>
      <c r="D61" s="7"/>
      <c r="E61" s="6"/>
      <c r="F61" s="6"/>
    </row>
    <row r="62" spans="1:6" x14ac:dyDescent="0.2">
      <c r="A62" s="12"/>
      <c r="B62" s="9"/>
      <c r="C62" s="9"/>
      <c r="D62" s="10"/>
      <c r="E62" s="9"/>
      <c r="F62" s="9"/>
    </row>
    <row r="63" spans="1:6" x14ac:dyDescent="0.2">
      <c r="A63" s="14"/>
      <c r="B63" s="6"/>
      <c r="C63" s="6"/>
      <c r="D63" s="7"/>
      <c r="E63" s="6"/>
      <c r="F63" s="6"/>
    </row>
    <row r="64" spans="1:6" x14ac:dyDescent="0.2">
      <c r="A64" s="12"/>
      <c r="B64" s="9"/>
      <c r="C64" s="9"/>
      <c r="D64" s="10"/>
      <c r="E64" s="9"/>
      <c r="F64" s="9"/>
    </row>
    <row r="65" spans="1:6" x14ac:dyDescent="0.2">
      <c r="A65" s="14"/>
      <c r="B65" s="6"/>
      <c r="C65" s="6"/>
      <c r="D65" s="7"/>
      <c r="E65" s="6"/>
      <c r="F65" s="6"/>
    </row>
    <row r="66" spans="1:6" x14ac:dyDescent="0.2">
      <c r="A66" s="12"/>
      <c r="B66" s="9"/>
      <c r="C66" s="9"/>
      <c r="D66" s="10"/>
      <c r="E66" s="9"/>
      <c r="F66" s="9"/>
    </row>
    <row r="67" spans="1:6" x14ac:dyDescent="0.2">
      <c r="A67" s="14"/>
      <c r="B67" s="6"/>
      <c r="C67" s="6"/>
      <c r="D67" s="7"/>
      <c r="E67" s="6"/>
      <c r="F67" s="6"/>
    </row>
    <row r="68" spans="1:6" x14ac:dyDescent="0.2">
      <c r="A68" s="12"/>
      <c r="B68" s="9"/>
      <c r="C68" s="9"/>
      <c r="D68" s="10"/>
      <c r="E68" s="9"/>
      <c r="F68" s="9"/>
    </row>
    <row r="69" spans="1:6" x14ac:dyDescent="0.2">
      <c r="A69" s="14"/>
      <c r="B69" s="6"/>
      <c r="C69" s="6"/>
      <c r="D69" s="7"/>
      <c r="E69" s="6"/>
      <c r="F69" s="6"/>
    </row>
    <row r="70" spans="1:6" x14ac:dyDescent="0.2">
      <c r="A70" s="12"/>
      <c r="B70" s="9"/>
      <c r="C70" s="9"/>
      <c r="D70" s="10"/>
      <c r="E70" s="9"/>
      <c r="F70" s="9"/>
    </row>
    <row r="71" spans="1:6" x14ac:dyDescent="0.2">
      <c r="A71" s="14"/>
      <c r="B71" s="6"/>
      <c r="C71" s="6"/>
      <c r="D71" s="7"/>
      <c r="E71" s="6"/>
      <c r="F71" s="6"/>
    </row>
    <row r="72" spans="1:6" x14ac:dyDescent="0.2">
      <c r="A72" s="12"/>
      <c r="B72" s="9"/>
      <c r="C72" s="9"/>
      <c r="D72" s="10"/>
      <c r="E72" s="9"/>
      <c r="F72" s="9"/>
    </row>
    <row r="73" spans="1:6" x14ac:dyDescent="0.2">
      <c r="A73" s="14"/>
      <c r="B73" s="6"/>
      <c r="C73" s="6"/>
      <c r="D73" s="7"/>
      <c r="E73" s="6"/>
      <c r="F73" s="6"/>
    </row>
    <row r="74" spans="1:6" x14ac:dyDescent="0.2">
      <c r="A74" s="12"/>
      <c r="B74" s="9"/>
      <c r="C74" s="9"/>
      <c r="D74" s="10"/>
      <c r="E74" s="9"/>
      <c r="F74" s="9"/>
    </row>
    <row r="75" spans="1:6" x14ac:dyDescent="0.2">
      <c r="A75" s="14"/>
      <c r="B75" s="6"/>
      <c r="C75" s="6"/>
      <c r="D75" s="7"/>
      <c r="E75" s="6"/>
      <c r="F75" s="6"/>
    </row>
    <row r="76" spans="1:6" x14ac:dyDescent="0.2">
      <c r="A76" s="12"/>
      <c r="B76" s="9"/>
      <c r="C76" s="9"/>
      <c r="D76" s="10"/>
      <c r="E76" s="9"/>
      <c r="F76" s="9"/>
    </row>
    <row r="77" spans="1:6" x14ac:dyDescent="0.2">
      <c r="A77" s="14"/>
      <c r="B77" s="6"/>
      <c r="C77" s="6"/>
      <c r="D77" s="7"/>
      <c r="E77" s="6"/>
      <c r="F77" s="6"/>
    </row>
    <row r="78" spans="1:6" x14ac:dyDescent="0.2">
      <c r="A78" s="12"/>
      <c r="B78" s="9"/>
      <c r="C78" s="9"/>
      <c r="D78" s="10"/>
      <c r="E78" s="9"/>
      <c r="F78" s="9"/>
    </row>
    <row r="79" spans="1:6" x14ac:dyDescent="0.2">
      <c r="A79" s="14"/>
      <c r="B79" s="6"/>
      <c r="C79" s="6"/>
      <c r="D79" s="7"/>
      <c r="E79" s="6"/>
      <c r="F79" s="6"/>
    </row>
    <row r="80" spans="1:6" x14ac:dyDescent="0.2">
      <c r="A80" s="12"/>
      <c r="B80" s="9"/>
      <c r="C80" s="9"/>
      <c r="D80" s="10"/>
      <c r="E80" s="9"/>
      <c r="F80" s="9"/>
    </row>
    <row r="81" spans="1:6" x14ac:dyDescent="0.2">
      <c r="A81" s="14"/>
      <c r="B81" s="6"/>
      <c r="C81" s="6"/>
      <c r="D81" s="7"/>
      <c r="E81" s="6"/>
      <c r="F81" s="6"/>
    </row>
    <row r="82" spans="1:6" x14ac:dyDescent="0.2">
      <c r="A82" s="12"/>
      <c r="B82" s="9"/>
      <c r="C82" s="9"/>
      <c r="D82" s="10"/>
      <c r="E82" s="9"/>
      <c r="F82" s="9"/>
    </row>
    <row r="83" spans="1:6" x14ac:dyDescent="0.2">
      <c r="A83" s="14"/>
      <c r="B83" s="6"/>
      <c r="C83" s="6"/>
      <c r="D83" s="7"/>
      <c r="E83" s="6"/>
      <c r="F83" s="6"/>
    </row>
    <row r="84" spans="1:6" x14ac:dyDescent="0.2">
      <c r="A84" s="12"/>
      <c r="B84" s="9"/>
      <c r="C84" s="9"/>
      <c r="D84" s="10"/>
      <c r="E84" s="9"/>
      <c r="F84" s="9"/>
    </row>
    <row r="85" spans="1:6" x14ac:dyDescent="0.2">
      <c r="A85" s="14"/>
      <c r="B85" s="6"/>
      <c r="C85" s="6"/>
      <c r="D85" s="7"/>
      <c r="E85" s="6"/>
      <c r="F85" s="6"/>
    </row>
    <row r="86" spans="1:6" x14ac:dyDescent="0.2">
      <c r="A86" s="12"/>
      <c r="B86" s="9"/>
      <c r="C86" s="9"/>
      <c r="D86" s="10"/>
      <c r="E86" s="9"/>
      <c r="F86" s="9"/>
    </row>
    <row r="87" spans="1:6" x14ac:dyDescent="0.2">
      <c r="A87" s="14"/>
      <c r="B87" s="6"/>
      <c r="C87" s="6"/>
      <c r="D87" s="7"/>
      <c r="E87" s="6"/>
      <c r="F87" s="6"/>
    </row>
    <row r="88" spans="1:6" x14ac:dyDescent="0.2">
      <c r="A88" s="12"/>
      <c r="B88" s="9"/>
      <c r="C88" s="9"/>
      <c r="D88" s="10"/>
      <c r="E88" s="9"/>
      <c r="F88" s="9"/>
    </row>
    <row r="89" spans="1:6" x14ac:dyDescent="0.2">
      <c r="A89" s="14"/>
      <c r="B89" s="6"/>
      <c r="C89" s="6"/>
      <c r="D89" s="7"/>
      <c r="E89" s="6"/>
      <c r="F89" s="6"/>
    </row>
    <row r="90" spans="1:6" x14ac:dyDescent="0.2">
      <c r="A90" s="12"/>
      <c r="B90" s="9"/>
      <c r="C90" s="9"/>
      <c r="D90" s="10"/>
      <c r="E90" s="9"/>
      <c r="F90" s="9"/>
    </row>
    <row r="91" spans="1:6" x14ac:dyDescent="0.2">
      <c r="A91" s="14"/>
      <c r="B91" s="6"/>
      <c r="C91" s="6"/>
      <c r="D91" s="7"/>
      <c r="E91" s="6"/>
      <c r="F91" s="6"/>
    </row>
    <row r="92" spans="1:6" x14ac:dyDescent="0.2">
      <c r="A92" s="12"/>
      <c r="B92" s="9"/>
      <c r="C92" s="9"/>
      <c r="D92" s="10"/>
      <c r="E92" s="9"/>
      <c r="F92" s="9"/>
    </row>
    <row r="93" spans="1:6" x14ac:dyDescent="0.2">
      <c r="A93" s="14"/>
      <c r="B93" s="6"/>
      <c r="C93" s="6"/>
      <c r="D93" s="7"/>
      <c r="E93" s="6"/>
      <c r="F93" s="6"/>
    </row>
    <row r="94" spans="1:6" x14ac:dyDescent="0.2">
      <c r="A94" s="12"/>
      <c r="B94" s="9"/>
      <c r="C94" s="9"/>
      <c r="D94" s="10"/>
      <c r="E94" s="9"/>
      <c r="F94" s="9"/>
    </row>
    <row r="95" spans="1:6" x14ac:dyDescent="0.2">
      <c r="A95" s="14"/>
      <c r="B95" s="6"/>
      <c r="C95" s="6"/>
      <c r="D95" s="7"/>
      <c r="E95" s="6"/>
      <c r="F95" s="6"/>
    </row>
    <row r="96" spans="1:6" x14ac:dyDescent="0.2">
      <c r="A96" s="12"/>
      <c r="B96" s="9"/>
      <c r="C96" s="9"/>
      <c r="D96" s="10"/>
      <c r="E96" s="9"/>
      <c r="F96" s="9"/>
    </row>
    <row r="97" spans="1:6" x14ac:dyDescent="0.2">
      <c r="A97" s="14"/>
      <c r="B97" s="6"/>
      <c r="C97" s="6"/>
      <c r="D97" s="7"/>
      <c r="E97" s="6"/>
      <c r="F97" s="6"/>
    </row>
    <row r="98" spans="1:6" x14ac:dyDescent="0.2">
      <c r="A98" s="12"/>
      <c r="B98" s="9"/>
      <c r="C98" s="9"/>
      <c r="D98" s="10"/>
      <c r="E98" s="9"/>
      <c r="F98" s="9"/>
    </row>
    <row r="99" spans="1:6" x14ac:dyDescent="0.2">
      <c r="A99" s="14"/>
      <c r="B99" s="6"/>
      <c r="C99" s="6"/>
      <c r="D99" s="7"/>
      <c r="E99" s="6"/>
      <c r="F99" s="6"/>
    </row>
    <row r="100" spans="1:6" x14ac:dyDescent="0.2">
      <c r="A100" s="12"/>
      <c r="B100" s="9"/>
      <c r="C100" s="9"/>
      <c r="D100" s="10"/>
      <c r="E100" s="9"/>
      <c r="F100" s="9"/>
    </row>
    <row r="101" spans="1:6" x14ac:dyDescent="0.2">
      <c r="A101" s="14"/>
      <c r="B101" s="6"/>
      <c r="C101" s="6"/>
      <c r="D101" s="7"/>
      <c r="E101" s="6"/>
      <c r="F101" s="6"/>
    </row>
    <row r="102" spans="1:6" x14ac:dyDescent="0.2">
      <c r="A102" s="12"/>
      <c r="B102" s="9"/>
      <c r="C102" s="9"/>
      <c r="D102" s="10"/>
      <c r="E102" s="9"/>
      <c r="F102" s="9"/>
    </row>
    <row r="103" spans="1:6" x14ac:dyDescent="0.2">
      <c r="A103" s="14"/>
      <c r="B103" s="6"/>
      <c r="C103" s="6"/>
      <c r="D103" s="7"/>
      <c r="E103" s="6"/>
      <c r="F103" s="6"/>
    </row>
    <row r="104" spans="1:6" x14ac:dyDescent="0.2">
      <c r="A104" s="12"/>
      <c r="B104" s="9"/>
      <c r="C104" s="9"/>
      <c r="D104" s="10"/>
      <c r="E104" s="9"/>
      <c r="F104" s="9"/>
    </row>
    <row r="105" spans="1:6" x14ac:dyDescent="0.2">
      <c r="A105" s="14"/>
      <c r="B105" s="6"/>
      <c r="C105" s="6"/>
      <c r="D105" s="7"/>
      <c r="E105" s="6"/>
      <c r="F105" s="6"/>
    </row>
    <row r="106" spans="1:6" x14ac:dyDescent="0.2">
      <c r="A106" s="12"/>
      <c r="B106" s="9"/>
      <c r="C106" s="9"/>
      <c r="D106" s="10"/>
      <c r="E106" s="9"/>
      <c r="F106" s="9"/>
    </row>
    <row r="107" spans="1:6" x14ac:dyDescent="0.2">
      <c r="A107" s="14"/>
      <c r="B107" s="6"/>
      <c r="C107" s="6"/>
      <c r="D107" s="7"/>
      <c r="E107" s="6"/>
      <c r="F107" s="6"/>
    </row>
    <row r="108" spans="1:6" x14ac:dyDescent="0.2">
      <c r="A108" s="12"/>
      <c r="B108" s="9"/>
      <c r="C108" s="9"/>
      <c r="D108" s="10"/>
      <c r="E108" s="9"/>
      <c r="F108" s="9"/>
    </row>
    <row r="109" spans="1:6" x14ac:dyDescent="0.2">
      <c r="A109" s="14"/>
      <c r="B109" s="6"/>
      <c r="C109" s="6"/>
      <c r="D109" s="7"/>
      <c r="E109" s="6"/>
      <c r="F109" s="6"/>
    </row>
    <row r="110" spans="1:6" x14ac:dyDescent="0.2">
      <c r="A110" s="12"/>
      <c r="B110" s="9"/>
      <c r="C110" s="9"/>
      <c r="D110" s="10"/>
      <c r="E110" s="9"/>
      <c r="F110" s="9"/>
    </row>
    <row r="111" spans="1:6" x14ac:dyDescent="0.2">
      <c r="A111" s="14"/>
      <c r="B111" s="6"/>
      <c r="C111" s="6"/>
      <c r="D111" s="7"/>
      <c r="E111" s="6"/>
      <c r="F111" s="6"/>
    </row>
    <row r="112" spans="1:6" x14ac:dyDescent="0.2">
      <c r="A112" s="12"/>
      <c r="B112" s="9"/>
      <c r="C112" s="9"/>
      <c r="D112" s="10"/>
      <c r="E112" s="9"/>
      <c r="F112" s="9"/>
    </row>
    <row r="113" spans="1:6" x14ac:dyDescent="0.2">
      <c r="A113" s="14"/>
      <c r="B113" s="6"/>
      <c r="C113" s="6"/>
      <c r="D113" s="7"/>
      <c r="E113" s="6"/>
      <c r="F113" s="6"/>
    </row>
    <row r="114" spans="1:6" x14ac:dyDescent="0.2">
      <c r="A114" s="12"/>
      <c r="B114" s="9"/>
      <c r="C114" s="9"/>
      <c r="D114" s="10"/>
      <c r="E114" s="9"/>
      <c r="F114" s="9"/>
    </row>
    <row r="115" spans="1:6" x14ac:dyDescent="0.2">
      <c r="A115" s="14"/>
      <c r="B115" s="6"/>
      <c r="C115" s="6"/>
      <c r="D115" s="7"/>
      <c r="E115" s="6"/>
      <c r="F115" s="6"/>
    </row>
    <row r="116" spans="1:6" x14ac:dyDescent="0.2">
      <c r="A116" s="12"/>
      <c r="B116" s="9"/>
      <c r="C116" s="9"/>
      <c r="D116" s="10"/>
      <c r="E116" s="9"/>
      <c r="F116" s="9"/>
    </row>
    <row r="117" spans="1:6" x14ac:dyDescent="0.2">
      <c r="A117" s="14"/>
      <c r="B117" s="6"/>
      <c r="C117" s="6"/>
      <c r="D117" s="7"/>
      <c r="E117" s="6"/>
      <c r="F117" s="6"/>
    </row>
    <row r="118" spans="1:6" x14ac:dyDescent="0.2">
      <c r="A118" s="12"/>
      <c r="B118" s="9"/>
      <c r="C118" s="9"/>
      <c r="D118" s="10"/>
      <c r="E118" s="9"/>
      <c r="F118" s="9"/>
    </row>
    <row r="119" spans="1:6" x14ac:dyDescent="0.2">
      <c r="A119" s="14"/>
      <c r="B119" s="6"/>
      <c r="C119" s="6"/>
      <c r="D119" s="7"/>
      <c r="E119" s="6"/>
      <c r="F119" s="6"/>
    </row>
    <row r="120" spans="1:6" x14ac:dyDescent="0.2">
      <c r="A120" s="12"/>
      <c r="B120" s="9"/>
      <c r="C120" s="9"/>
      <c r="D120" s="10"/>
      <c r="E120" s="9"/>
      <c r="F120" s="9"/>
    </row>
    <row r="121" spans="1:6" x14ac:dyDescent="0.2">
      <c r="A121" s="14"/>
      <c r="B121" s="6"/>
      <c r="C121" s="6"/>
      <c r="D121" s="7"/>
      <c r="E121" s="6"/>
      <c r="F121" s="6"/>
    </row>
    <row r="122" spans="1:6" x14ac:dyDescent="0.2">
      <c r="A122" s="12"/>
      <c r="B122" s="9"/>
      <c r="C122" s="9"/>
      <c r="D122" s="10"/>
      <c r="E122" s="9"/>
      <c r="F122" s="9"/>
    </row>
    <row r="123" spans="1:6" x14ac:dyDescent="0.2">
      <c r="A123" s="14"/>
      <c r="B123" s="6"/>
      <c r="C123" s="6"/>
      <c r="D123" s="7"/>
      <c r="E123" s="6"/>
      <c r="F123" s="6"/>
    </row>
    <row r="124" spans="1:6" x14ac:dyDescent="0.2">
      <c r="A124" s="12"/>
      <c r="B124" s="9"/>
      <c r="C124" s="9"/>
      <c r="D124" s="10"/>
      <c r="E124" s="9"/>
      <c r="F124" s="9"/>
    </row>
    <row r="125" spans="1:6" x14ac:dyDescent="0.2">
      <c r="A125" s="14"/>
      <c r="B125" s="6"/>
      <c r="C125" s="6"/>
      <c r="D125" s="7"/>
      <c r="E125" s="6"/>
      <c r="F125" s="6"/>
    </row>
    <row r="126" spans="1:6" x14ac:dyDescent="0.2">
      <c r="A126" s="12"/>
      <c r="B126" s="9"/>
      <c r="C126" s="9"/>
      <c r="D126" s="10"/>
      <c r="E126" s="9"/>
      <c r="F126" s="9"/>
    </row>
    <row r="127" spans="1:6" x14ac:dyDescent="0.2">
      <c r="A127" s="14"/>
      <c r="B127" s="6"/>
      <c r="C127" s="6"/>
      <c r="D127" s="7"/>
      <c r="E127" s="6"/>
      <c r="F127" s="6"/>
    </row>
    <row r="128" spans="1:6" x14ac:dyDescent="0.2">
      <c r="A128" s="12"/>
      <c r="B128" s="9"/>
      <c r="C128" s="9"/>
      <c r="D128" s="10"/>
      <c r="E128" s="9"/>
      <c r="F128" s="9"/>
    </row>
    <row r="129" spans="1:6" x14ac:dyDescent="0.2">
      <c r="A129" s="14"/>
      <c r="B129" s="6"/>
      <c r="C129" s="6"/>
      <c r="D129" s="7"/>
      <c r="E129" s="6"/>
      <c r="F129" s="6"/>
    </row>
    <row r="130" spans="1:6" x14ac:dyDescent="0.2">
      <c r="A130" s="12"/>
      <c r="B130" s="9"/>
      <c r="C130" s="9"/>
      <c r="D130" s="10"/>
      <c r="E130" s="9"/>
      <c r="F130" s="9"/>
    </row>
    <row r="131" spans="1:6" x14ac:dyDescent="0.2">
      <c r="A131" s="14"/>
      <c r="B131" s="6"/>
      <c r="C131" s="6"/>
      <c r="D131" s="7"/>
      <c r="E131" s="6"/>
      <c r="F131" s="6"/>
    </row>
    <row r="132" spans="1:6" x14ac:dyDescent="0.2">
      <c r="A132" s="12"/>
      <c r="B132" s="9"/>
      <c r="C132" s="9"/>
      <c r="D132" s="10"/>
      <c r="E132" s="9"/>
      <c r="F132" s="9"/>
    </row>
    <row r="133" spans="1:6" x14ac:dyDescent="0.2">
      <c r="A133" s="14"/>
      <c r="B133" s="6"/>
      <c r="C133" s="6"/>
      <c r="D133" s="7"/>
      <c r="E133" s="6"/>
      <c r="F133" s="6"/>
    </row>
    <row r="134" spans="1:6" x14ac:dyDescent="0.2">
      <c r="A134" s="12"/>
      <c r="B134" s="9"/>
      <c r="C134" s="9"/>
      <c r="D134" s="10"/>
      <c r="E134" s="9"/>
      <c r="F134" s="9"/>
    </row>
    <row r="135" spans="1:6" x14ac:dyDescent="0.2">
      <c r="A135" s="14"/>
      <c r="B135" s="6"/>
      <c r="C135" s="6"/>
      <c r="D135" s="7"/>
      <c r="E135" s="6"/>
      <c r="F135" s="6"/>
    </row>
    <row r="136" spans="1:6" x14ac:dyDescent="0.2">
      <c r="A136" s="12"/>
      <c r="B136" s="9"/>
      <c r="C136" s="9"/>
      <c r="D136" s="10"/>
      <c r="E136" s="9"/>
      <c r="F136" s="9"/>
    </row>
    <row r="137" spans="1:6" x14ac:dyDescent="0.2">
      <c r="A137" s="14"/>
      <c r="B137" s="6"/>
      <c r="C137" s="6"/>
      <c r="D137" s="7"/>
      <c r="E137" s="6"/>
      <c r="F137" s="6"/>
    </row>
    <row r="138" spans="1:6" x14ac:dyDescent="0.2">
      <c r="A138" s="12"/>
      <c r="B138" s="9"/>
      <c r="C138" s="9"/>
      <c r="D138" s="10"/>
      <c r="E138" s="9"/>
      <c r="F138" s="9"/>
    </row>
    <row r="139" spans="1:6" x14ac:dyDescent="0.2">
      <c r="A139" s="14"/>
      <c r="B139" s="6"/>
      <c r="C139" s="6"/>
      <c r="D139" s="7"/>
      <c r="E139" s="6"/>
      <c r="F139" s="6"/>
    </row>
    <row r="140" spans="1:6" x14ac:dyDescent="0.2">
      <c r="A140" s="12"/>
      <c r="B140" s="9"/>
      <c r="C140" s="9"/>
      <c r="D140" s="10"/>
      <c r="E140" s="9"/>
      <c r="F140" s="9"/>
    </row>
    <row r="141" spans="1:6" x14ac:dyDescent="0.2">
      <c r="A141" s="14"/>
      <c r="B141" s="6"/>
      <c r="C141" s="6"/>
      <c r="D141" s="7"/>
      <c r="E141" s="6"/>
      <c r="F141" s="6"/>
    </row>
    <row r="142" spans="1:6" x14ac:dyDescent="0.2">
      <c r="A142" s="12"/>
      <c r="B142" s="9"/>
      <c r="C142" s="9"/>
      <c r="D142" s="10"/>
      <c r="E142" s="9"/>
      <c r="F142" s="9"/>
    </row>
    <row r="143" spans="1:6" x14ac:dyDescent="0.2">
      <c r="A143" s="14"/>
      <c r="B143" s="6"/>
      <c r="C143" s="6"/>
      <c r="D143" s="7"/>
      <c r="E143" s="6"/>
      <c r="F143" s="6"/>
    </row>
    <row r="144" spans="1:6" x14ac:dyDescent="0.2">
      <c r="A144" s="12"/>
      <c r="B144" s="9"/>
      <c r="C144" s="9"/>
      <c r="D144" s="10"/>
      <c r="E144" s="9"/>
      <c r="F144" s="9"/>
    </row>
    <row r="145" spans="1:6" x14ac:dyDescent="0.2">
      <c r="A145" s="14"/>
      <c r="B145" s="6"/>
      <c r="C145" s="6"/>
      <c r="D145" s="7"/>
      <c r="E145" s="6"/>
      <c r="F145" s="6"/>
    </row>
    <row r="146" spans="1:6" x14ac:dyDescent="0.2">
      <c r="A146" s="12"/>
      <c r="B146" s="9"/>
      <c r="C146" s="9"/>
      <c r="D146" s="10"/>
      <c r="E146" s="9"/>
      <c r="F146" s="9"/>
    </row>
    <row r="147" spans="1:6" x14ac:dyDescent="0.2">
      <c r="A147" s="14"/>
      <c r="B147" s="6"/>
      <c r="C147" s="6"/>
      <c r="D147" s="7"/>
      <c r="E147" s="6"/>
      <c r="F147" s="6"/>
    </row>
    <row r="148" spans="1:6" x14ac:dyDescent="0.2">
      <c r="A148" s="12"/>
      <c r="B148" s="9"/>
      <c r="C148" s="9"/>
      <c r="D148" s="10"/>
      <c r="E148" s="9"/>
      <c r="F148" s="9"/>
    </row>
    <row r="149" spans="1:6" x14ac:dyDescent="0.2">
      <c r="A149" s="14"/>
      <c r="B149" s="6"/>
      <c r="C149" s="6"/>
      <c r="D149" s="7"/>
      <c r="E149" s="6"/>
      <c r="F149" s="6"/>
    </row>
    <row r="150" spans="1:6" x14ac:dyDescent="0.2">
      <c r="A150" s="12"/>
      <c r="B150" s="9"/>
      <c r="C150" s="9"/>
      <c r="D150" s="10"/>
      <c r="E150" s="9"/>
      <c r="F150" s="9"/>
    </row>
    <row r="151" spans="1:6" x14ac:dyDescent="0.2">
      <c r="A151" s="14"/>
      <c r="B151" s="6"/>
      <c r="C151" s="6"/>
      <c r="D151" s="7"/>
      <c r="E151" s="6"/>
      <c r="F151" s="6"/>
    </row>
    <row r="152" spans="1:6" x14ac:dyDescent="0.2">
      <c r="A152" s="12"/>
      <c r="B152" s="9"/>
      <c r="C152" s="9"/>
      <c r="D152" s="10"/>
      <c r="E152" s="9"/>
      <c r="F152" s="9"/>
    </row>
    <row r="153" spans="1:6" x14ac:dyDescent="0.2">
      <c r="A153" s="14"/>
      <c r="B153" s="6"/>
      <c r="C153" s="6"/>
      <c r="D153" s="7"/>
      <c r="E153" s="6"/>
      <c r="F153" s="6"/>
    </row>
    <row r="154" spans="1:6" x14ac:dyDescent="0.2">
      <c r="A154" s="12"/>
      <c r="B154" s="9"/>
      <c r="C154" s="9"/>
      <c r="D154" s="10"/>
      <c r="E154" s="9"/>
      <c r="F154" s="9"/>
    </row>
    <row r="155" spans="1:6" x14ac:dyDescent="0.2">
      <c r="A155" s="14"/>
      <c r="B155" s="6"/>
      <c r="C155" s="6"/>
      <c r="D155" s="7"/>
      <c r="E155" s="6"/>
      <c r="F155" s="6"/>
    </row>
    <row r="156" spans="1:6" x14ac:dyDescent="0.2">
      <c r="A156" s="12"/>
      <c r="B156" s="9"/>
      <c r="C156" s="9"/>
      <c r="D156" s="10"/>
      <c r="E156" s="9"/>
      <c r="F156" s="9"/>
    </row>
    <row r="157" spans="1:6" x14ac:dyDescent="0.2">
      <c r="A157" s="14"/>
      <c r="B157" s="6"/>
      <c r="C157" s="6"/>
      <c r="D157" s="7"/>
      <c r="E157" s="6"/>
      <c r="F157" s="6"/>
    </row>
    <row r="158" spans="1:6" x14ac:dyDescent="0.2">
      <c r="A158" s="12"/>
      <c r="B158" s="9"/>
      <c r="C158" s="9"/>
      <c r="D158" s="10"/>
      <c r="E158" s="9"/>
      <c r="F158" s="9"/>
    </row>
    <row r="159" spans="1:6" x14ac:dyDescent="0.2">
      <c r="A159" s="14"/>
      <c r="B159" s="6"/>
      <c r="C159" s="6"/>
      <c r="D159" s="7"/>
      <c r="E159" s="6"/>
      <c r="F159" s="6"/>
    </row>
    <row r="160" spans="1:6" x14ac:dyDescent="0.2">
      <c r="A160" s="12"/>
      <c r="B160" s="9"/>
      <c r="C160" s="9"/>
      <c r="D160" s="10"/>
      <c r="E160" s="9"/>
      <c r="F160" s="9"/>
    </row>
    <row r="161" spans="1:6" x14ac:dyDescent="0.2">
      <c r="A161" s="14"/>
      <c r="B161" s="6"/>
      <c r="C161" s="6"/>
      <c r="D161" s="7"/>
      <c r="E161" s="6"/>
      <c r="F161" s="6"/>
    </row>
    <row r="162" spans="1:6" x14ac:dyDescent="0.2">
      <c r="A162" s="12"/>
      <c r="B162" s="9"/>
      <c r="C162" s="9"/>
      <c r="D162" s="10"/>
      <c r="E162" s="9"/>
      <c r="F162" s="9"/>
    </row>
    <row r="163" spans="1:6" x14ac:dyDescent="0.2">
      <c r="A163" s="14"/>
      <c r="B163" s="6"/>
      <c r="C163" s="6"/>
      <c r="D163" s="7"/>
      <c r="E163" s="6"/>
      <c r="F163" s="6"/>
    </row>
    <row r="164" spans="1:6" x14ac:dyDescent="0.2">
      <c r="A164" s="12"/>
      <c r="B164" s="9"/>
      <c r="C164" s="9"/>
      <c r="D164" s="10"/>
      <c r="E164" s="9"/>
      <c r="F164" s="9"/>
    </row>
    <row r="165" spans="1:6" x14ac:dyDescent="0.2">
      <c r="A165" s="14"/>
      <c r="B165" s="6"/>
      <c r="C165" s="6"/>
      <c r="D165" s="7"/>
      <c r="E165" s="6"/>
      <c r="F165" s="6"/>
    </row>
    <row r="166" spans="1:6" x14ac:dyDescent="0.2">
      <c r="A166" s="12"/>
      <c r="B166" s="9"/>
      <c r="C166" s="9"/>
      <c r="D166" s="10"/>
      <c r="E166" s="9"/>
      <c r="F166" s="9"/>
    </row>
    <row r="167" spans="1:6" x14ac:dyDescent="0.2">
      <c r="A167" s="14"/>
      <c r="B167" s="6"/>
      <c r="C167" s="6"/>
      <c r="D167" s="7"/>
      <c r="E167" s="6"/>
      <c r="F167" s="6"/>
    </row>
    <row r="168" spans="1:6" x14ac:dyDescent="0.2">
      <c r="A168" s="12"/>
      <c r="B168" s="9"/>
      <c r="C168" s="9"/>
      <c r="D168" s="10"/>
      <c r="E168" s="9"/>
      <c r="F168" s="9"/>
    </row>
    <row r="169" spans="1:6" x14ac:dyDescent="0.2">
      <c r="A169" s="14"/>
      <c r="B169" s="6"/>
      <c r="C169" s="6"/>
      <c r="D169" s="7"/>
      <c r="E169" s="6"/>
      <c r="F169" s="6"/>
    </row>
    <row r="170" spans="1:6" x14ac:dyDescent="0.2">
      <c r="A170" s="12"/>
      <c r="B170" s="9"/>
      <c r="C170" s="9"/>
      <c r="D170" s="10"/>
      <c r="E170" s="9"/>
      <c r="F170" s="9"/>
    </row>
    <row r="171" spans="1:6" x14ac:dyDescent="0.2">
      <c r="A171" s="14"/>
      <c r="B171" s="6"/>
      <c r="C171" s="6"/>
      <c r="D171" s="7"/>
      <c r="E171" s="6"/>
      <c r="F171" s="6"/>
    </row>
    <row r="172" spans="1:6" x14ac:dyDescent="0.2">
      <c r="A172" s="12"/>
      <c r="B172" s="9"/>
      <c r="C172" s="9"/>
      <c r="D172" s="10"/>
      <c r="E172" s="9"/>
      <c r="F172" s="9"/>
    </row>
    <row r="173" spans="1:6" x14ac:dyDescent="0.2">
      <c r="A173" s="14"/>
      <c r="B173" s="6"/>
      <c r="C173" s="6"/>
      <c r="D173" s="7"/>
      <c r="E173" s="6"/>
      <c r="F173" s="6"/>
    </row>
    <row r="174" spans="1:6" x14ac:dyDescent="0.2">
      <c r="A174" s="12"/>
      <c r="B174" s="9"/>
      <c r="C174" s="9"/>
      <c r="D174" s="10"/>
      <c r="E174" s="9"/>
      <c r="F174" s="9"/>
    </row>
    <row r="175" spans="1:6" x14ac:dyDescent="0.2">
      <c r="A175" s="14"/>
      <c r="B175" s="6"/>
      <c r="C175" s="6"/>
      <c r="D175" s="7"/>
      <c r="E175" s="6"/>
      <c r="F175" s="6"/>
    </row>
    <row r="176" spans="1:6" x14ac:dyDescent="0.2">
      <c r="A176" s="12"/>
      <c r="B176" s="9"/>
      <c r="C176" s="9"/>
      <c r="D176" s="10"/>
      <c r="E176" s="9"/>
      <c r="F176" s="9"/>
    </row>
    <row r="177" spans="1:6" x14ac:dyDescent="0.2">
      <c r="A177" s="14"/>
      <c r="B177" s="6"/>
      <c r="C177" s="6"/>
      <c r="D177" s="7"/>
      <c r="E177" s="6"/>
      <c r="F177" s="6"/>
    </row>
    <row r="178" spans="1:6" x14ac:dyDescent="0.2">
      <c r="A178" s="12"/>
      <c r="B178" s="9"/>
      <c r="C178" s="9"/>
      <c r="D178" s="10"/>
      <c r="E178" s="9"/>
      <c r="F178" s="9"/>
    </row>
    <row r="179" spans="1:6" x14ac:dyDescent="0.2">
      <c r="A179" s="14"/>
      <c r="B179" s="6"/>
      <c r="C179" s="6"/>
      <c r="D179" s="7"/>
      <c r="E179" s="6"/>
      <c r="F179" s="6"/>
    </row>
    <row r="180" spans="1:6" x14ac:dyDescent="0.2">
      <c r="A180" s="12"/>
      <c r="B180" s="9"/>
      <c r="C180" s="9"/>
      <c r="D180" s="10"/>
      <c r="E180" s="9"/>
      <c r="F180" s="9"/>
    </row>
    <row r="181" spans="1:6" x14ac:dyDescent="0.2">
      <c r="A181" s="14"/>
      <c r="B181" s="6"/>
      <c r="C181" s="6"/>
      <c r="D181" s="7"/>
      <c r="E181" s="6"/>
      <c r="F181" s="6"/>
    </row>
    <row r="182" spans="1:6" x14ac:dyDescent="0.2">
      <c r="A182" s="12"/>
      <c r="B182" s="9"/>
      <c r="C182" s="9"/>
      <c r="D182" s="10"/>
      <c r="E182" s="9"/>
      <c r="F182" s="9"/>
    </row>
    <row r="183" spans="1:6" x14ac:dyDescent="0.2">
      <c r="A183" s="14"/>
      <c r="B183" s="6"/>
      <c r="C183" s="6"/>
      <c r="D183" s="7"/>
      <c r="E183" s="6"/>
      <c r="F183" s="6"/>
    </row>
    <row r="184" spans="1:6" x14ac:dyDescent="0.2">
      <c r="A184" s="12"/>
      <c r="B184" s="9"/>
      <c r="C184" s="9"/>
      <c r="D184" s="10"/>
      <c r="E184" s="9"/>
      <c r="F184" s="9"/>
    </row>
    <row r="185" spans="1:6" x14ac:dyDescent="0.2">
      <c r="A185" s="14"/>
      <c r="B185" s="6"/>
      <c r="C185" s="6"/>
      <c r="D185" s="7"/>
      <c r="E185" s="6"/>
      <c r="F185" s="6"/>
    </row>
    <row r="186" spans="1:6" x14ac:dyDescent="0.2">
      <c r="A186" s="12"/>
      <c r="B186" s="9"/>
      <c r="C186" s="9"/>
      <c r="D186" s="10"/>
      <c r="E186" s="9"/>
      <c r="F186" s="9"/>
    </row>
    <row r="187" spans="1:6" x14ac:dyDescent="0.2">
      <c r="A187" s="14"/>
      <c r="B187" s="6"/>
      <c r="C187" s="6"/>
      <c r="D187" s="7"/>
      <c r="E187" s="6"/>
      <c r="F187" s="6"/>
    </row>
    <row r="188" spans="1:6" x14ac:dyDescent="0.2">
      <c r="A188" s="12"/>
      <c r="B188" s="9"/>
      <c r="C188" s="9"/>
      <c r="D188" s="10"/>
      <c r="E188" s="9"/>
      <c r="F188" s="9"/>
    </row>
    <row r="189" spans="1:6" x14ac:dyDescent="0.2">
      <c r="A189" s="14"/>
      <c r="B189" s="6"/>
      <c r="C189" s="6"/>
      <c r="D189" s="7"/>
      <c r="E189" s="6"/>
      <c r="F189" s="6"/>
    </row>
    <row r="190" spans="1:6" x14ac:dyDescent="0.2">
      <c r="A190" s="12"/>
      <c r="B190" s="9"/>
      <c r="C190" s="9"/>
      <c r="D190" s="10"/>
      <c r="E190" s="9"/>
      <c r="F190" s="9"/>
    </row>
    <row r="191" spans="1:6" x14ac:dyDescent="0.2">
      <c r="A191" s="14"/>
      <c r="B191" s="6"/>
      <c r="C191" s="6"/>
      <c r="D191" s="7"/>
      <c r="E191" s="6"/>
      <c r="F191" s="6"/>
    </row>
    <row r="192" spans="1:6" x14ac:dyDescent="0.2">
      <c r="A192" s="12"/>
      <c r="B192" s="9"/>
      <c r="C192" s="9"/>
      <c r="D192" s="10"/>
      <c r="E192" s="9"/>
      <c r="F192" s="9"/>
    </row>
    <row r="193" spans="1:6" x14ac:dyDescent="0.2">
      <c r="A193" s="14"/>
      <c r="B193" s="6"/>
      <c r="C193" s="6"/>
      <c r="D193" s="7"/>
      <c r="E193" s="6"/>
      <c r="F193" s="6"/>
    </row>
    <row r="194" spans="1:6" x14ac:dyDescent="0.2">
      <c r="A194" s="12"/>
      <c r="B194" s="9"/>
      <c r="C194" s="9"/>
      <c r="D194" s="10"/>
      <c r="E194" s="9"/>
      <c r="F194" s="9"/>
    </row>
    <row r="195" spans="1:6" x14ac:dyDescent="0.2">
      <c r="A195" s="14"/>
      <c r="B195" s="6"/>
      <c r="C195" s="6"/>
      <c r="D195" s="7"/>
      <c r="E195" s="6"/>
      <c r="F195" s="6"/>
    </row>
    <row r="196" spans="1:6" x14ac:dyDescent="0.2">
      <c r="A196" s="12"/>
      <c r="B196" s="9"/>
      <c r="C196" s="9"/>
      <c r="D196" s="10"/>
      <c r="E196" s="9"/>
      <c r="F196" s="9"/>
    </row>
    <row r="197" spans="1:6" x14ac:dyDescent="0.2">
      <c r="A197" s="14"/>
      <c r="B197" s="6"/>
      <c r="C197" s="6"/>
      <c r="D197" s="7"/>
      <c r="E197" s="6"/>
      <c r="F197" s="6"/>
    </row>
    <row r="198" spans="1:6" x14ac:dyDescent="0.2">
      <c r="A198" s="12"/>
      <c r="B198" s="9"/>
      <c r="C198" s="9"/>
      <c r="D198" s="10"/>
      <c r="E198" s="9"/>
      <c r="F198" s="9"/>
    </row>
    <row r="199" spans="1:6" x14ac:dyDescent="0.2">
      <c r="A199" s="14"/>
      <c r="B199" s="6"/>
      <c r="C199" s="6"/>
      <c r="D199" s="7"/>
      <c r="E199" s="6"/>
      <c r="F199" s="6"/>
    </row>
    <row r="200" spans="1:6" x14ac:dyDescent="0.2">
      <c r="A200" s="12"/>
      <c r="B200" s="9"/>
      <c r="C200" s="9"/>
      <c r="D200" s="10"/>
      <c r="E200" s="9"/>
      <c r="F200" s="9"/>
    </row>
    <row r="201" spans="1:6" x14ac:dyDescent="0.2">
      <c r="A201" s="14"/>
      <c r="B201" s="6"/>
      <c r="C201" s="6"/>
      <c r="D201" s="7"/>
      <c r="E201" s="6"/>
      <c r="F201" s="6"/>
    </row>
  </sheetData>
  <autoFilter ref="A1:F201" xr:uid="{00000000-0009-0000-0000-000004000000}"/>
  <dataValidations count="1">
    <dataValidation type="decimal" operator="greaterThanOrEqual" allowBlank="1" sqref="D2:D201" xr:uid="{00000000-0002-0000-0400-000000000000}">
      <formula1>0</formula1>
    </dataValidation>
  </dataValidation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Start Here</vt:lpstr>
      <vt:lpstr>Products</vt:lpstr>
      <vt:lpstr>Sales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PocketAI Studio Seller Profit Tracker</dc:title>
  <dc:subject>Multi-product daily sales and profit tracking workbook for small sellers</dc:subject>
  <dc:creator>PocketAI Studio</dc:creator>
  <dcterms:created xsi:type="dcterms:W3CDTF">2026-10-16T19:03:29Z</dcterms:created>
  <dcterms:modified xsi:type="dcterms:W3CDTF">2026-10-16T19:03:31Z</dcterms:modified>
</cp:coreProperties>
</file>